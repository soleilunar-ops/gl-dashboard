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250" windowHeight="11925"/>
  </bookViews>
  <sheets>
    <sheet name="대표" sheetId="1" r:id="rId1"/>
  </sheets>
  <definedNames>
    <definedName name="_xlnm.Print_Area" localSheetId="0">대표!$B$2:$L$61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8" i="1" l="1"/>
  <c r="K57" i="1"/>
  <c r="K56" i="1"/>
  <c r="K55" i="1"/>
  <c r="K54" i="1"/>
  <c r="K59" i="1" s="1"/>
  <c r="K52" i="1"/>
  <c r="K51" i="1"/>
  <c r="K50" i="1"/>
  <c r="K49" i="1"/>
  <c r="K48" i="1"/>
  <c r="K47" i="1"/>
  <c r="K46" i="1"/>
  <c r="K45" i="1"/>
  <c r="K53" i="1" s="1"/>
  <c r="K44" i="1"/>
  <c r="K43" i="1"/>
  <c r="K42" i="1"/>
  <c r="K40" i="1"/>
  <c r="K39" i="1"/>
  <c r="K38" i="1"/>
  <c r="K37" i="1"/>
  <c r="K36" i="1"/>
  <c r="K35" i="1"/>
  <c r="K34" i="1"/>
  <c r="K33" i="1"/>
  <c r="K32" i="1"/>
  <c r="K31" i="1"/>
  <c r="K30" i="1"/>
  <c r="K29" i="1"/>
  <c r="K41" i="1" s="1"/>
  <c r="K27" i="1"/>
  <c r="K26" i="1"/>
  <c r="K25" i="1"/>
  <c r="K24" i="1"/>
  <c r="K23" i="1"/>
  <c r="K22" i="1"/>
  <c r="K21" i="1"/>
  <c r="K28" i="1" s="1"/>
  <c r="K19" i="1"/>
  <c r="K18" i="1"/>
  <c r="K20" i="1" s="1"/>
  <c r="K16" i="1"/>
  <c r="K15" i="1"/>
  <c r="K14" i="1"/>
  <c r="K13" i="1"/>
  <c r="K17" i="1" s="1"/>
  <c r="K12" i="1"/>
  <c r="K10" i="1"/>
  <c r="K9" i="1"/>
  <c r="K8" i="1"/>
  <c r="K7" i="1"/>
  <c r="K6" i="1"/>
  <c r="K5" i="1"/>
  <c r="K4" i="1"/>
  <c r="K3" i="1"/>
  <c r="K11" i="1" s="1"/>
  <c r="K60" i="1" l="1"/>
  <c r="K61" i="1"/>
</calcChain>
</file>

<file path=xl/sharedStrings.xml><?xml version="1.0" encoding="utf-8"?>
<sst xmlns="http://schemas.openxmlformats.org/spreadsheetml/2006/main" count="182" uniqueCount="145">
  <si>
    <t>기간별</t>
    <phoneticPr fontId="1" type="noConversion"/>
  </si>
  <si>
    <t>종류</t>
    <phoneticPr fontId="1" type="noConversion"/>
  </si>
  <si>
    <t>계약서NO</t>
  </si>
  <si>
    <t>계약기간시작</t>
  </si>
  <si>
    <t>계약기간종료</t>
  </si>
  <si>
    <t>계약서 예산</t>
    <phoneticPr fontId="1" type="noConversion"/>
  </si>
  <si>
    <t>부담 금액</t>
    <phoneticPr fontId="1" type="noConversion"/>
  </si>
  <si>
    <t>소계</t>
    <phoneticPr fontId="1" type="noConversion"/>
  </si>
  <si>
    <t>비고</t>
    <phoneticPr fontId="1" type="noConversion"/>
  </si>
  <si>
    <t>시즌</t>
    <phoneticPr fontId="1" type="noConversion"/>
  </si>
  <si>
    <t>방한용품/포근하고따뜻한겨울나기</t>
    <phoneticPr fontId="1" type="noConversion"/>
  </si>
  <si>
    <t>2025.10.14</t>
    <phoneticPr fontId="1" type="noConversion"/>
  </si>
  <si>
    <t>2026.2.17</t>
    <phoneticPr fontId="1" type="noConversion"/>
  </si>
  <si>
    <t>소진</t>
    <phoneticPr fontId="1" type="noConversion"/>
  </si>
  <si>
    <t>방한용품/포근하고따뜻한겨울나기(추가)</t>
    <phoneticPr fontId="1" type="noConversion"/>
  </si>
  <si>
    <t>2025.10.17</t>
    <phoneticPr fontId="1" type="noConversion"/>
  </si>
  <si>
    <t>2026.2.17</t>
    <phoneticPr fontId="1" type="noConversion"/>
  </si>
  <si>
    <t>2025.11.18</t>
    <phoneticPr fontId="1" type="noConversion"/>
  </si>
  <si>
    <t>2026.2.17</t>
    <phoneticPr fontId="1" type="noConversion"/>
  </si>
  <si>
    <t>소진</t>
    <phoneticPr fontId="1" type="noConversion"/>
  </si>
  <si>
    <t>방한용품/포근하고따뜻한겨울나기</t>
    <phoneticPr fontId="1" type="noConversion"/>
  </si>
  <si>
    <t>2025.12.02</t>
    <phoneticPr fontId="1" type="noConversion"/>
  </si>
  <si>
    <t>소진</t>
    <phoneticPr fontId="1" type="noConversion"/>
  </si>
  <si>
    <t>2025.12.19</t>
    <phoneticPr fontId="1" type="noConversion"/>
  </si>
  <si>
    <t>방한용품/포근하고따뜻한겨울나기</t>
    <phoneticPr fontId="1" type="noConversion"/>
  </si>
  <si>
    <t>2026.1.26</t>
    <phoneticPr fontId="1" type="noConversion"/>
  </si>
  <si>
    <t>전팀장님</t>
    <phoneticPr fontId="1" type="noConversion"/>
  </si>
  <si>
    <t>쿠팡 체험단 프로그램</t>
    <phoneticPr fontId="1" type="noConversion"/>
  </si>
  <si>
    <t>2025.12.29</t>
    <phoneticPr fontId="1" type="noConversion"/>
  </si>
  <si>
    <t>2025.12.31</t>
    <phoneticPr fontId="1" type="noConversion"/>
  </si>
  <si>
    <t>쿠팡 체험단 프로그램</t>
    <phoneticPr fontId="1" type="noConversion"/>
  </si>
  <si>
    <t>2026.2.28</t>
    <phoneticPr fontId="1" type="noConversion"/>
  </si>
  <si>
    <t>2026.2.28</t>
    <phoneticPr fontId="1" type="noConversion"/>
  </si>
  <si>
    <t>광고</t>
    <phoneticPr fontId="1" type="noConversion"/>
  </si>
  <si>
    <t>[표준] 광고 게재 신청서</t>
    <phoneticPr fontId="1" type="noConversion"/>
  </si>
  <si>
    <t>2025.10.07</t>
    <phoneticPr fontId="1" type="noConversion"/>
  </si>
  <si>
    <t>2025.10.27</t>
    <phoneticPr fontId="1" type="noConversion"/>
  </si>
  <si>
    <t>25'광고 2.2억</t>
    <phoneticPr fontId="1" type="noConversion"/>
  </si>
  <si>
    <t>[표준] 광고 게재 신청서</t>
    <phoneticPr fontId="1" type="noConversion"/>
  </si>
  <si>
    <t>2025.11.11</t>
    <phoneticPr fontId="1" type="noConversion"/>
  </si>
  <si>
    <t>2025.11.29</t>
    <phoneticPr fontId="1" type="noConversion"/>
  </si>
  <si>
    <t>[표준] 광고 게재 신청서</t>
    <phoneticPr fontId="1" type="noConversion"/>
  </si>
  <si>
    <t>2025.11.24</t>
    <phoneticPr fontId="1" type="noConversion"/>
  </si>
  <si>
    <t>2025.11.27</t>
    <phoneticPr fontId="1" type="noConversion"/>
  </si>
  <si>
    <t>2025.12.05</t>
    <phoneticPr fontId="1" type="noConversion"/>
  </si>
  <si>
    <t>2025.12.30</t>
    <phoneticPr fontId="1" type="noConversion"/>
  </si>
  <si>
    <t>2026.1.26</t>
    <phoneticPr fontId="1" type="noConversion"/>
  </si>
  <si>
    <t>2026.1.29</t>
    <phoneticPr fontId="1" type="noConversion"/>
  </si>
  <si>
    <t>박상병추가광고</t>
    <phoneticPr fontId="1" type="noConversion"/>
  </si>
  <si>
    <t>10월</t>
    <phoneticPr fontId="1" type="noConversion"/>
  </si>
  <si>
    <t>10월19일 골드박스_하루온</t>
    <phoneticPr fontId="1" type="noConversion"/>
  </si>
  <si>
    <t>2025.10.19</t>
    <phoneticPr fontId="1" type="noConversion"/>
  </si>
  <si>
    <t>2025.10.20</t>
    <phoneticPr fontId="1" type="noConversion"/>
  </si>
  <si>
    <t>방한용품 할인관</t>
    <phoneticPr fontId="1" type="noConversion"/>
  </si>
  <si>
    <t>2025.10.27</t>
    <phoneticPr fontId="1" type="noConversion"/>
  </si>
  <si>
    <t>2025.11.03</t>
    <phoneticPr fontId="1" type="noConversion"/>
  </si>
  <si>
    <t>11월</t>
    <phoneticPr fontId="1" type="noConversion"/>
  </si>
  <si>
    <t>11월11일 골드박스_하루온</t>
    <phoneticPr fontId="1" type="noConversion"/>
  </si>
  <si>
    <t>2025.11.11</t>
    <phoneticPr fontId="1" type="noConversion"/>
  </si>
  <si>
    <t>2025.11.12</t>
    <phoneticPr fontId="1" type="noConversion"/>
  </si>
  <si>
    <t>방한용품 즉시할인</t>
    <phoneticPr fontId="1" type="noConversion"/>
  </si>
  <si>
    <t>2025.11.15</t>
    <phoneticPr fontId="1" type="noConversion"/>
  </si>
  <si>
    <t>2025.11.22</t>
    <phoneticPr fontId="1" type="noConversion"/>
  </si>
  <si>
    <t>즉시할인</t>
    <phoneticPr fontId="1" type="noConversion"/>
  </si>
  <si>
    <t>2025.11.18</t>
    <phoneticPr fontId="1" type="noConversion"/>
  </si>
  <si>
    <t>2025.11.22</t>
    <phoneticPr fontId="1" type="noConversion"/>
  </si>
  <si>
    <t>즉시할인</t>
    <phoneticPr fontId="1" type="noConversion"/>
  </si>
  <si>
    <t>와우더리빙쇼 선착순 특가</t>
    <phoneticPr fontId="1" type="noConversion"/>
  </si>
  <si>
    <t>2025.11.25</t>
    <phoneticPr fontId="1" type="noConversion"/>
  </si>
  <si>
    <t>박상병 10매 단독</t>
    <phoneticPr fontId="1" type="noConversion"/>
  </si>
  <si>
    <t>2025.11.23</t>
    <phoneticPr fontId="1" type="noConversion"/>
  </si>
  <si>
    <t>2025.11..28</t>
    <phoneticPr fontId="1" type="noConversion"/>
  </si>
  <si>
    <t>와우더리빙쇼 선착순딜</t>
    <phoneticPr fontId="1" type="noConversion"/>
  </si>
  <si>
    <t>2025.11.24</t>
    <phoneticPr fontId="1" type="noConversion"/>
  </si>
  <si>
    <t>2025.11.25</t>
    <phoneticPr fontId="1" type="noConversion"/>
  </si>
  <si>
    <t>2025.12.05</t>
    <phoneticPr fontId="1" type="noConversion"/>
  </si>
  <si>
    <t>12월</t>
    <phoneticPr fontId="1" type="noConversion"/>
  </si>
  <si>
    <t>2025.12.01</t>
    <phoneticPr fontId="1" type="noConversion"/>
  </si>
  <si>
    <t>2025.12.07</t>
    <phoneticPr fontId="1" type="noConversion"/>
  </si>
  <si>
    <t>2025.12.02</t>
    <phoneticPr fontId="1" type="noConversion"/>
  </si>
  <si>
    <t>2025.12.07</t>
    <phoneticPr fontId="1" type="noConversion"/>
  </si>
  <si>
    <t>추가,변경</t>
    <phoneticPr fontId="1" type="noConversion"/>
  </si>
  <si>
    <t>2025.12.08</t>
    <phoneticPr fontId="1" type="noConversion"/>
  </si>
  <si>
    <t>2025.12.14</t>
    <phoneticPr fontId="1" type="noConversion"/>
  </si>
  <si>
    <t>2025.12.10</t>
    <phoneticPr fontId="1" type="noConversion"/>
  </si>
  <si>
    <t>2025.12.14</t>
    <phoneticPr fontId="1" type="noConversion"/>
  </si>
  <si>
    <t>추가,변경</t>
    <phoneticPr fontId="1" type="noConversion"/>
  </si>
  <si>
    <t>12월14일 타임세일 불가마</t>
    <phoneticPr fontId="1" type="noConversion"/>
  </si>
  <si>
    <t>2025.12.14</t>
    <phoneticPr fontId="1" type="noConversion"/>
  </si>
  <si>
    <t>2025.12.14</t>
    <phoneticPr fontId="1" type="noConversion"/>
  </si>
  <si>
    <t>즉시할인</t>
    <phoneticPr fontId="1" type="noConversion"/>
  </si>
  <si>
    <t>2025.12.11</t>
    <phoneticPr fontId="1" type="noConversion"/>
  </si>
  <si>
    <t>2025.12.15</t>
    <phoneticPr fontId="1" type="noConversion"/>
  </si>
  <si>
    <t>2025.12.21</t>
    <phoneticPr fontId="1" type="noConversion"/>
  </si>
  <si>
    <t>2025.12.16</t>
    <phoneticPr fontId="1" type="noConversion"/>
  </si>
  <si>
    <t>와우페스티벌(하반기)</t>
    <phoneticPr fontId="1" type="noConversion"/>
  </si>
  <si>
    <t>2025.12.22</t>
    <phoneticPr fontId="1" type="noConversion"/>
  </si>
  <si>
    <t>즉시할인</t>
    <phoneticPr fontId="1" type="noConversion"/>
  </si>
  <si>
    <t>2025.12.22</t>
    <phoneticPr fontId="1" type="noConversion"/>
  </si>
  <si>
    <t>2025.12.28</t>
    <phoneticPr fontId="1" type="noConversion"/>
  </si>
  <si>
    <t>2025.12.24</t>
    <phoneticPr fontId="1" type="noConversion"/>
  </si>
  <si>
    <t>2025.12.28</t>
    <phoneticPr fontId="1" type="noConversion"/>
  </si>
  <si>
    <t>추가(손난로80g)</t>
    <phoneticPr fontId="1" type="noConversion"/>
  </si>
  <si>
    <t>2025.12.29</t>
    <phoneticPr fontId="1" type="noConversion"/>
  </si>
  <si>
    <t>2026.1.02</t>
    <phoneticPr fontId="1" type="noConversion"/>
  </si>
  <si>
    <t>1월</t>
    <phoneticPr fontId="1" type="noConversion"/>
  </si>
  <si>
    <t>2026.1.1</t>
    <phoneticPr fontId="1" type="noConversion"/>
  </si>
  <si>
    <t>2026.1.8</t>
    <phoneticPr fontId="1" type="noConversion"/>
  </si>
  <si>
    <t>전체즉시할인</t>
    <phoneticPr fontId="1" type="noConversion"/>
  </si>
  <si>
    <t>박상병,군인핫팩,박일병 추가 할인 시작</t>
    <phoneticPr fontId="1" type="noConversion"/>
  </si>
  <si>
    <t>2026.1.6</t>
    <phoneticPr fontId="1" type="noConversion"/>
  </si>
  <si>
    <t>2026.1.13</t>
    <phoneticPr fontId="1" type="noConversion"/>
  </si>
  <si>
    <t>전체즉시할인</t>
    <phoneticPr fontId="1" type="noConversion"/>
  </si>
  <si>
    <t>박일병,손난로,군인제외 골드100매 축소</t>
    <phoneticPr fontId="1" type="noConversion"/>
  </si>
  <si>
    <t>한파/폭설 시즌 프로모션</t>
    <phoneticPr fontId="1" type="noConversion"/>
  </si>
  <si>
    <t>2026.1.12</t>
    <phoneticPr fontId="1" type="noConversion"/>
  </si>
  <si>
    <t>2026.1.26</t>
    <phoneticPr fontId="1" type="noConversion"/>
  </si>
  <si>
    <t>붙이는불가마</t>
    <phoneticPr fontId="1" type="noConversion"/>
  </si>
  <si>
    <t>2026.1.12</t>
    <phoneticPr fontId="1" type="noConversion"/>
  </si>
  <si>
    <t>2026.1.19</t>
    <phoneticPr fontId="1" type="noConversion"/>
  </si>
  <si>
    <t>즉시할인</t>
    <phoneticPr fontId="1" type="noConversion"/>
  </si>
  <si>
    <t>2026.1.15</t>
    <phoneticPr fontId="1" type="noConversion"/>
  </si>
  <si>
    <t>2026.1.24</t>
    <phoneticPr fontId="1" type="noConversion"/>
  </si>
  <si>
    <t>100매 추가할인</t>
    <phoneticPr fontId="1" type="noConversion"/>
  </si>
  <si>
    <t>2026.1.19</t>
    <phoneticPr fontId="1" type="noConversion"/>
  </si>
  <si>
    <t>2026.1.26</t>
    <phoneticPr fontId="1" type="noConversion"/>
  </si>
  <si>
    <t>즉시할인</t>
    <phoneticPr fontId="1" type="noConversion"/>
  </si>
  <si>
    <t>2026.1.25</t>
    <phoneticPr fontId="1" type="noConversion"/>
  </si>
  <si>
    <t>2026.2.1</t>
    <phoneticPr fontId="1" type="noConversion"/>
  </si>
  <si>
    <t>해지</t>
    <phoneticPr fontId="1" type="noConversion"/>
  </si>
  <si>
    <t>2026.1.24</t>
    <phoneticPr fontId="1" type="noConversion"/>
  </si>
  <si>
    <t>2026.1.30</t>
    <phoneticPr fontId="1" type="noConversion"/>
  </si>
  <si>
    <t>주말 10매</t>
    <phoneticPr fontId="1" type="noConversion"/>
  </si>
  <si>
    <t>2026.1.26</t>
    <phoneticPr fontId="1" type="noConversion"/>
  </si>
  <si>
    <t>2026.2.1</t>
    <phoneticPr fontId="1" type="noConversion"/>
  </si>
  <si>
    <t>전팀장님</t>
    <phoneticPr fontId="1" type="noConversion"/>
  </si>
  <si>
    <t>2026.1.27</t>
    <phoneticPr fontId="1" type="noConversion"/>
  </si>
  <si>
    <t>2026.2.3</t>
    <phoneticPr fontId="1" type="noConversion"/>
  </si>
  <si>
    <t>골드,박상병 추가</t>
    <phoneticPr fontId="1" type="noConversion"/>
  </si>
  <si>
    <t>2월</t>
    <phoneticPr fontId="1" type="noConversion"/>
  </si>
  <si>
    <t>즉시할인</t>
    <phoneticPr fontId="1" type="noConversion"/>
  </si>
  <si>
    <t>2026.2.2</t>
    <phoneticPr fontId="1" type="noConversion"/>
  </si>
  <si>
    <t>2026.2.9</t>
    <phoneticPr fontId="1" type="noConversion"/>
  </si>
  <si>
    <r>
      <t>합 계 (</t>
    </r>
    <r>
      <rPr>
        <b/>
        <sz val="11"/>
        <color rgb="FFFF0000"/>
        <rFont val="맑은 고딕"/>
        <family val="3"/>
        <charset val="129"/>
        <scheme val="minor"/>
      </rPr>
      <t>광고제외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</si>
  <si>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 xml:space="preserve">합 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</si>
</sst>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282B3A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4F4F4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3" fontId="3" fillId="3" borderId="9" xfId="0" applyNumberFormat="1" applyFont="1" applyFill="1" applyBorder="1" applyAlignment="1">
      <alignment horizontal="center" vertical="center" wrapText="1"/>
    </xf>
    <xf numFmtId="3" fontId="3" fillId="4" borderId="9" xfId="0" applyNumberFormat="1" applyFont="1" applyFill="1" applyBorder="1" applyAlignment="1">
      <alignment horizontal="center" vertical="center" wrapText="1"/>
    </xf>
    <xf numFmtId="3" fontId="3" fillId="5" borderId="9" xfId="0" applyNumberFormat="1" applyFont="1" applyFill="1" applyBorder="1" applyAlignment="1">
      <alignment horizontal="right" vertical="center" wrapText="1"/>
    </xf>
    <xf numFmtId="0" fontId="0" fillId="0" borderId="10" xfId="0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3" fontId="3" fillId="6" borderId="9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3" fontId="3" fillId="0" borderId="9" xfId="0" applyNumberFormat="1" applyFont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3" fontId="3" fillId="8" borderId="18" xfId="0" applyNumberFormat="1" applyFont="1" applyFill="1" applyBorder="1" applyAlignment="1">
      <alignment horizontal="center" vertical="center" wrapText="1"/>
    </xf>
    <xf numFmtId="3" fontId="3" fillId="8" borderId="19" xfId="0" applyNumberFormat="1" applyFont="1" applyFill="1" applyBorder="1" applyAlignment="1">
      <alignment horizontal="center" vertical="center" wrapText="1"/>
    </xf>
    <xf numFmtId="3" fontId="4" fillId="9" borderId="19" xfId="0" applyNumberFormat="1" applyFont="1" applyFill="1" applyBorder="1" applyAlignment="1">
      <alignment horizontal="right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3" fontId="3" fillId="10" borderId="9" xfId="0" applyNumberFormat="1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8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 wrapText="1"/>
    </xf>
    <xf numFmtId="14" fontId="3" fillId="0" borderId="28" xfId="0" applyNumberFormat="1" applyFont="1" applyBorder="1" applyAlignment="1">
      <alignment horizontal="center" vertical="center" wrapText="1"/>
    </xf>
    <xf numFmtId="3" fontId="3" fillId="0" borderId="28" xfId="0" applyNumberFormat="1" applyFont="1" applyBorder="1" applyAlignment="1">
      <alignment horizontal="center" vertical="center" wrapText="1"/>
    </xf>
    <xf numFmtId="3" fontId="3" fillId="0" borderId="29" xfId="0" applyNumberFormat="1" applyFont="1" applyBorder="1" applyAlignment="1">
      <alignment horizontal="center" vertical="center" wrapText="1"/>
    </xf>
    <xf numFmtId="3" fontId="3" fillId="5" borderId="29" xfId="0" applyNumberFormat="1" applyFont="1" applyFill="1" applyBorder="1" applyAlignment="1">
      <alignment horizontal="right" vertical="center" wrapText="1"/>
    </xf>
    <xf numFmtId="0" fontId="0" fillId="8" borderId="18" xfId="0" applyFill="1" applyBorder="1"/>
    <xf numFmtId="0" fontId="0" fillId="8" borderId="19" xfId="0" applyFill="1" applyBorder="1"/>
    <xf numFmtId="3" fontId="5" fillId="9" borderId="19" xfId="0" applyNumberFormat="1" applyFont="1" applyFill="1" applyBorder="1" applyAlignment="1">
      <alignment horizontal="right"/>
    </xf>
    <xf numFmtId="0" fontId="0" fillId="0" borderId="30" xfId="0" applyBorder="1"/>
    <xf numFmtId="0" fontId="3" fillId="4" borderId="8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14" fontId="3" fillId="4" borderId="8" xfId="0" applyNumberFormat="1" applyFont="1" applyFill="1" applyBorder="1" applyAlignment="1">
      <alignment horizontal="center" vertical="center" wrapText="1"/>
    </xf>
    <xf numFmtId="3" fontId="3" fillId="4" borderId="8" xfId="0" applyNumberFormat="1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3" fontId="7" fillId="10" borderId="19" xfId="0" applyNumberFormat="1" applyFont="1" applyFill="1" applyBorder="1" applyAlignment="1">
      <alignment horizontal="right"/>
    </xf>
    <xf numFmtId="0" fontId="0" fillId="0" borderId="29" xfId="0" applyBorder="1"/>
    <xf numFmtId="0" fontId="0" fillId="0" borderId="15" xfId="0" applyBorder="1"/>
    <xf numFmtId="0" fontId="0" fillId="0" borderId="31" xfId="0" applyBorder="1"/>
    <xf numFmtId="0" fontId="6" fillId="8" borderId="17" xfId="0" applyFont="1" applyFill="1" applyBorder="1" applyAlignment="1">
      <alignment horizontal="center"/>
    </xf>
    <xf numFmtId="0" fontId="6" fillId="8" borderId="19" xfId="0" applyFont="1" applyFill="1" applyBorder="1" applyAlignment="1">
      <alignment horizontal="center"/>
    </xf>
    <xf numFmtId="0" fontId="0" fillId="0" borderId="32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61"/>
  <sheetViews>
    <sheetView tabSelected="1" zoomScale="85" zoomScaleNormal="85" workbookViewId="0">
      <selection activeCell="C65" sqref="C65"/>
    </sheetView>
  </sheetViews>
  <sheetFormatPr defaultRowHeight="16.5" x14ac:dyDescent="0.3"/>
  <cols>
    <col min="3" max="3" width="31.5" customWidth="1"/>
    <col min="4" max="4" width="10.75" customWidth="1"/>
    <col min="5" max="5" width="11.75" customWidth="1"/>
    <col min="6" max="6" width="11.75" bestFit="1" customWidth="1"/>
    <col min="7" max="7" width="12.375" bestFit="1" customWidth="1"/>
    <col min="8" max="10" width="11.5" customWidth="1"/>
    <col min="11" max="11" width="12.5" customWidth="1"/>
    <col min="12" max="12" width="16.625" bestFit="1" customWidth="1"/>
  </cols>
  <sheetData>
    <row r="1" spans="2:13" ht="17.25" thickBot="1" x14ac:dyDescent="0.35"/>
    <row r="2" spans="2:13" ht="23.25" customHeight="1" thickBot="1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I2" s="4"/>
      <c r="J2" s="5"/>
      <c r="K2" s="6" t="s">
        <v>7</v>
      </c>
      <c r="L2" s="6" t="s">
        <v>8</v>
      </c>
    </row>
    <row r="3" spans="2:13" ht="17.25" thickTop="1" x14ac:dyDescent="0.3">
      <c r="B3" s="7" t="s">
        <v>9</v>
      </c>
      <c r="C3" s="8" t="s">
        <v>10</v>
      </c>
      <c r="D3" s="9">
        <v>1931438</v>
      </c>
      <c r="E3" s="10" t="s">
        <v>11</v>
      </c>
      <c r="F3" s="10" t="s">
        <v>12</v>
      </c>
      <c r="G3" s="11">
        <v>10000000</v>
      </c>
      <c r="H3" s="12">
        <v>3020040</v>
      </c>
      <c r="I3" s="12">
        <v>6948850</v>
      </c>
      <c r="J3" s="13">
        <v>-5310</v>
      </c>
      <c r="K3" s="14">
        <f>SUM(H3:J3)</f>
        <v>9963580</v>
      </c>
      <c r="L3" s="15" t="s">
        <v>13</v>
      </c>
    </row>
    <row r="4" spans="2:13" x14ac:dyDescent="0.3">
      <c r="B4" s="16"/>
      <c r="C4" s="17" t="s">
        <v>14</v>
      </c>
      <c r="D4" s="9">
        <v>1940799</v>
      </c>
      <c r="E4" s="10" t="s">
        <v>15</v>
      </c>
      <c r="F4" s="10" t="s">
        <v>16</v>
      </c>
      <c r="G4" s="11">
        <v>3000000</v>
      </c>
      <c r="H4" s="12">
        <v>1054860</v>
      </c>
      <c r="I4" s="18">
        <v>1935670</v>
      </c>
      <c r="J4" s="18">
        <v>-750</v>
      </c>
      <c r="K4" s="14">
        <f t="shared" ref="K4:K52" si="0">SUM(H4:J4)</f>
        <v>2989780</v>
      </c>
      <c r="L4" s="19" t="s">
        <v>13</v>
      </c>
    </row>
    <row r="5" spans="2:13" x14ac:dyDescent="0.3">
      <c r="B5" s="16"/>
      <c r="C5" s="17" t="s">
        <v>10</v>
      </c>
      <c r="D5" s="9">
        <v>1985466</v>
      </c>
      <c r="E5" s="10" t="s">
        <v>17</v>
      </c>
      <c r="F5" s="10" t="s">
        <v>18</v>
      </c>
      <c r="G5" s="11">
        <v>10000000</v>
      </c>
      <c r="H5" s="12">
        <v>9983996</v>
      </c>
      <c r="I5" s="18">
        <v>-12758</v>
      </c>
      <c r="J5" s="20">
        <v>-320</v>
      </c>
      <c r="K5" s="14">
        <f t="shared" si="0"/>
        <v>9970918</v>
      </c>
      <c r="L5" s="19" t="s">
        <v>19</v>
      </c>
    </row>
    <row r="6" spans="2:13" x14ac:dyDescent="0.3">
      <c r="B6" s="16"/>
      <c r="C6" s="17" t="s">
        <v>20</v>
      </c>
      <c r="D6" s="9">
        <v>2015743</v>
      </c>
      <c r="E6" s="10" t="s">
        <v>21</v>
      </c>
      <c r="F6" s="10" t="s">
        <v>12</v>
      </c>
      <c r="G6" s="11">
        <v>20000000</v>
      </c>
      <c r="H6" s="12">
        <v>19961910</v>
      </c>
      <c r="I6" s="20">
        <v>-6370</v>
      </c>
      <c r="J6" s="20"/>
      <c r="K6" s="14">
        <f t="shared" si="0"/>
        <v>19955540</v>
      </c>
      <c r="L6" s="19" t="s">
        <v>22</v>
      </c>
    </row>
    <row r="7" spans="2:13" x14ac:dyDescent="0.3">
      <c r="B7" s="16"/>
      <c r="C7" s="17" t="s">
        <v>10</v>
      </c>
      <c r="D7" s="9">
        <v>2047374</v>
      </c>
      <c r="E7" s="10" t="s">
        <v>23</v>
      </c>
      <c r="F7" s="10" t="s">
        <v>18</v>
      </c>
      <c r="G7" s="11">
        <v>20000000</v>
      </c>
      <c r="H7" s="12">
        <v>10467224</v>
      </c>
      <c r="I7" s="12">
        <v>9481677</v>
      </c>
      <c r="J7" s="20">
        <v>-7260</v>
      </c>
      <c r="K7" s="14">
        <f t="shared" si="0"/>
        <v>19941641</v>
      </c>
      <c r="L7" s="21" t="s">
        <v>19</v>
      </c>
    </row>
    <row r="8" spans="2:13" x14ac:dyDescent="0.3">
      <c r="B8" s="16"/>
      <c r="C8" s="17" t="s">
        <v>24</v>
      </c>
      <c r="D8" s="9">
        <v>2109812</v>
      </c>
      <c r="E8" s="10" t="s">
        <v>25</v>
      </c>
      <c r="F8" s="10" t="s">
        <v>12</v>
      </c>
      <c r="G8" s="11">
        <v>20000000</v>
      </c>
      <c r="H8" s="13">
        <v>3205846</v>
      </c>
      <c r="I8" s="13">
        <v>6448450</v>
      </c>
      <c r="J8" s="20"/>
      <c r="K8" s="14">
        <f t="shared" si="0"/>
        <v>9654296</v>
      </c>
      <c r="L8" s="21"/>
      <c r="M8" t="s">
        <v>26</v>
      </c>
    </row>
    <row r="9" spans="2:13" x14ac:dyDescent="0.3">
      <c r="B9" s="16"/>
      <c r="C9" s="22" t="s">
        <v>27</v>
      </c>
      <c r="D9" s="9">
        <v>2056139</v>
      </c>
      <c r="E9" s="10" t="s">
        <v>28</v>
      </c>
      <c r="F9" s="10" t="s">
        <v>29</v>
      </c>
      <c r="G9" s="11">
        <v>4000000</v>
      </c>
      <c r="H9" s="20">
        <v>4226190</v>
      </c>
      <c r="I9" s="20"/>
      <c r="J9" s="20"/>
      <c r="K9" s="14">
        <f t="shared" si="0"/>
        <v>4226190</v>
      </c>
      <c r="L9" s="21"/>
    </row>
    <row r="10" spans="2:13" ht="17.25" thickBot="1" x14ac:dyDescent="0.35">
      <c r="B10" s="23"/>
      <c r="C10" s="24" t="s">
        <v>30</v>
      </c>
      <c r="D10" s="9">
        <v>2142213</v>
      </c>
      <c r="E10" s="10" t="s">
        <v>31</v>
      </c>
      <c r="F10" s="10" t="s">
        <v>32</v>
      </c>
      <c r="G10" s="11">
        <v>3750000</v>
      </c>
      <c r="H10" s="20">
        <v>4377273</v>
      </c>
      <c r="I10" s="20"/>
      <c r="J10" s="20"/>
      <c r="K10" s="14">
        <f t="shared" si="0"/>
        <v>4377273</v>
      </c>
      <c r="L10" s="21"/>
    </row>
    <row r="11" spans="2:13" ht="17.25" thickBot="1" x14ac:dyDescent="0.35">
      <c r="B11" s="25"/>
      <c r="C11" s="26"/>
      <c r="D11" s="26"/>
      <c r="E11" s="26"/>
      <c r="F11" s="26"/>
      <c r="G11" s="27"/>
      <c r="H11" s="27"/>
      <c r="I11" s="27"/>
      <c r="J11" s="28"/>
      <c r="K11" s="29">
        <f>SUM(K3:K10)</f>
        <v>81079218</v>
      </c>
      <c r="L11" s="21"/>
    </row>
    <row r="12" spans="2:13" x14ac:dyDescent="0.3">
      <c r="B12" s="30" t="s">
        <v>33</v>
      </c>
      <c r="C12" s="31" t="s">
        <v>34</v>
      </c>
      <c r="D12" s="9">
        <v>1913799</v>
      </c>
      <c r="E12" s="10" t="s">
        <v>35</v>
      </c>
      <c r="F12" s="10" t="s">
        <v>36</v>
      </c>
      <c r="G12" s="11">
        <v>40000000</v>
      </c>
      <c r="H12" s="18">
        <v>40000000</v>
      </c>
      <c r="I12" s="20"/>
      <c r="J12" s="20"/>
      <c r="K12" s="14">
        <f t="shared" si="0"/>
        <v>40000000</v>
      </c>
      <c r="L12" s="32" t="s">
        <v>37</v>
      </c>
    </row>
    <row r="13" spans="2:13" x14ac:dyDescent="0.3">
      <c r="B13" s="16"/>
      <c r="C13" s="31" t="s">
        <v>38</v>
      </c>
      <c r="D13" s="9">
        <v>1968104</v>
      </c>
      <c r="E13" s="10" t="s">
        <v>39</v>
      </c>
      <c r="F13" s="10" t="s">
        <v>40</v>
      </c>
      <c r="G13" s="11">
        <v>50000000</v>
      </c>
      <c r="H13" s="18">
        <v>50000000</v>
      </c>
      <c r="I13" s="20"/>
      <c r="J13" s="20"/>
      <c r="K13" s="14">
        <f t="shared" si="0"/>
        <v>50000000</v>
      </c>
      <c r="L13" s="33"/>
    </row>
    <row r="14" spans="2:13" x14ac:dyDescent="0.3">
      <c r="B14" s="16"/>
      <c r="C14" s="31" t="s">
        <v>41</v>
      </c>
      <c r="D14" s="9">
        <v>1982407</v>
      </c>
      <c r="E14" s="10" t="s">
        <v>42</v>
      </c>
      <c r="F14" s="10" t="s">
        <v>43</v>
      </c>
      <c r="G14" s="11">
        <v>40000000</v>
      </c>
      <c r="H14" s="18">
        <v>20000000</v>
      </c>
      <c r="I14" s="20"/>
      <c r="J14" s="20"/>
      <c r="K14" s="14">
        <f t="shared" si="0"/>
        <v>20000000</v>
      </c>
      <c r="L14" s="33"/>
    </row>
    <row r="15" spans="2:13" x14ac:dyDescent="0.3">
      <c r="B15" s="16"/>
      <c r="C15" s="31" t="s">
        <v>38</v>
      </c>
      <c r="D15" s="9">
        <v>2003350</v>
      </c>
      <c r="E15" s="10" t="s">
        <v>44</v>
      </c>
      <c r="F15" s="10" t="s">
        <v>45</v>
      </c>
      <c r="G15" s="11">
        <v>100000000</v>
      </c>
      <c r="H15" s="18">
        <v>100000000</v>
      </c>
      <c r="I15" s="20"/>
      <c r="J15" s="20"/>
      <c r="K15" s="14">
        <f t="shared" si="0"/>
        <v>100000000</v>
      </c>
      <c r="L15" s="34"/>
    </row>
    <row r="16" spans="2:13" ht="17.25" thickBot="1" x14ac:dyDescent="0.35">
      <c r="B16" s="23"/>
      <c r="C16" s="31" t="s">
        <v>41</v>
      </c>
      <c r="D16" s="9">
        <v>2094824</v>
      </c>
      <c r="E16" s="10" t="s">
        <v>46</v>
      </c>
      <c r="F16" s="10" t="s">
        <v>47</v>
      </c>
      <c r="G16" s="11">
        <v>30000000</v>
      </c>
      <c r="H16" s="18">
        <v>30000000</v>
      </c>
      <c r="I16" s="20"/>
      <c r="J16" s="20"/>
      <c r="K16" s="14">
        <f t="shared" si="0"/>
        <v>30000000</v>
      </c>
      <c r="L16" s="35" t="s">
        <v>48</v>
      </c>
    </row>
    <row r="17" spans="2:12" ht="17.25" thickBot="1" x14ac:dyDescent="0.35">
      <c r="B17" s="25"/>
      <c r="C17" s="26"/>
      <c r="D17" s="26"/>
      <c r="E17" s="26"/>
      <c r="F17" s="26"/>
      <c r="G17" s="27"/>
      <c r="H17" s="27"/>
      <c r="I17" s="27"/>
      <c r="J17" s="28"/>
      <c r="K17" s="29">
        <f>SUM(K12:K16)</f>
        <v>240000000</v>
      </c>
      <c r="L17" s="21"/>
    </row>
    <row r="18" spans="2:12" x14ac:dyDescent="0.3">
      <c r="B18" s="36" t="s">
        <v>49</v>
      </c>
      <c r="C18" s="31" t="s">
        <v>50</v>
      </c>
      <c r="D18" s="9">
        <v>1939434</v>
      </c>
      <c r="E18" s="10" t="s">
        <v>51</v>
      </c>
      <c r="F18" s="10" t="s">
        <v>52</v>
      </c>
      <c r="G18" s="11">
        <v>2500000</v>
      </c>
      <c r="H18" s="13">
        <v>1749360</v>
      </c>
      <c r="I18" s="13">
        <v>-31520</v>
      </c>
      <c r="J18" s="13"/>
      <c r="K18" s="14">
        <f t="shared" si="0"/>
        <v>1717840</v>
      </c>
      <c r="L18" s="21"/>
    </row>
    <row r="19" spans="2:12" ht="17.25" thickBot="1" x14ac:dyDescent="0.35">
      <c r="B19" s="37"/>
      <c r="C19" s="31" t="s">
        <v>53</v>
      </c>
      <c r="D19" s="9">
        <v>1940284</v>
      </c>
      <c r="E19" s="10" t="s">
        <v>54</v>
      </c>
      <c r="F19" s="10" t="s">
        <v>55</v>
      </c>
      <c r="G19" s="11">
        <v>8000000</v>
      </c>
      <c r="H19" s="12">
        <v>7953470</v>
      </c>
      <c r="I19" s="18">
        <v>-17900</v>
      </c>
      <c r="J19" s="13"/>
      <c r="K19" s="14">
        <f t="shared" si="0"/>
        <v>7935570</v>
      </c>
      <c r="L19" s="21"/>
    </row>
    <row r="20" spans="2:12" ht="17.25" thickBot="1" x14ac:dyDescent="0.35">
      <c r="B20" s="25"/>
      <c r="C20" s="26"/>
      <c r="D20" s="26"/>
      <c r="E20" s="26"/>
      <c r="F20" s="26"/>
      <c r="G20" s="27"/>
      <c r="H20" s="27"/>
      <c r="I20" s="27"/>
      <c r="J20" s="28"/>
      <c r="K20" s="29">
        <f>SUM(K18:K19)</f>
        <v>9653410</v>
      </c>
      <c r="L20" s="21"/>
    </row>
    <row r="21" spans="2:12" x14ac:dyDescent="0.3">
      <c r="B21" s="36" t="s">
        <v>56</v>
      </c>
      <c r="C21" s="31" t="s">
        <v>57</v>
      </c>
      <c r="D21" s="9">
        <v>1969760</v>
      </c>
      <c r="E21" s="10" t="s">
        <v>58</v>
      </c>
      <c r="F21" s="10" t="s">
        <v>59</v>
      </c>
      <c r="G21" s="11">
        <v>5000000</v>
      </c>
      <c r="H21" s="13">
        <v>1627500</v>
      </c>
      <c r="I21" s="13">
        <v>-7500</v>
      </c>
      <c r="J21" s="13"/>
      <c r="K21" s="14">
        <f t="shared" si="0"/>
        <v>1620000</v>
      </c>
      <c r="L21" s="21"/>
    </row>
    <row r="22" spans="2:12" x14ac:dyDescent="0.3">
      <c r="B22" s="38"/>
      <c r="C22" s="31" t="s">
        <v>60</v>
      </c>
      <c r="D22" s="9">
        <v>1982988</v>
      </c>
      <c r="E22" s="10" t="s">
        <v>61</v>
      </c>
      <c r="F22" s="10" t="s">
        <v>62</v>
      </c>
      <c r="G22" s="11">
        <v>20000000</v>
      </c>
      <c r="H22" s="13">
        <v>253980</v>
      </c>
      <c r="I22" s="13">
        <v>-1200</v>
      </c>
      <c r="J22" s="13"/>
      <c r="K22" s="14">
        <f t="shared" si="0"/>
        <v>252780</v>
      </c>
      <c r="L22" s="21" t="s">
        <v>63</v>
      </c>
    </row>
    <row r="23" spans="2:12" x14ac:dyDescent="0.3">
      <c r="B23" s="38"/>
      <c r="C23" s="31" t="s">
        <v>63</v>
      </c>
      <c r="D23" s="9">
        <v>1985151</v>
      </c>
      <c r="E23" s="10" t="s">
        <v>64</v>
      </c>
      <c r="F23" s="10" t="s">
        <v>65</v>
      </c>
      <c r="G23" s="11">
        <v>10000000</v>
      </c>
      <c r="H23" s="39">
        <v>4258320</v>
      </c>
      <c r="I23" s="39">
        <v>-8940</v>
      </c>
      <c r="J23" s="13"/>
      <c r="K23" s="14">
        <f t="shared" si="0"/>
        <v>4249380</v>
      </c>
      <c r="L23" s="21" t="s">
        <v>66</v>
      </c>
    </row>
    <row r="24" spans="2:12" x14ac:dyDescent="0.3">
      <c r="B24" s="38"/>
      <c r="C24" s="31" t="s">
        <v>67</v>
      </c>
      <c r="D24" s="9">
        <v>1994221</v>
      </c>
      <c r="E24" s="10" t="s">
        <v>42</v>
      </c>
      <c r="F24" s="10" t="s">
        <v>68</v>
      </c>
      <c r="G24" s="11">
        <v>3000000</v>
      </c>
      <c r="H24" s="20"/>
      <c r="I24" s="20"/>
      <c r="J24" s="13"/>
      <c r="K24" s="14">
        <f t="shared" si="0"/>
        <v>0</v>
      </c>
      <c r="L24" s="21" t="s">
        <v>69</v>
      </c>
    </row>
    <row r="25" spans="2:12" x14ac:dyDescent="0.3">
      <c r="B25" s="38"/>
      <c r="C25" s="31" t="s">
        <v>66</v>
      </c>
      <c r="D25" s="9">
        <v>1996880</v>
      </c>
      <c r="E25" s="10" t="s">
        <v>70</v>
      </c>
      <c r="F25" s="10" t="s">
        <v>71</v>
      </c>
      <c r="G25" s="11">
        <v>5000000</v>
      </c>
      <c r="H25" s="39">
        <v>4469230</v>
      </c>
      <c r="I25" s="13"/>
      <c r="J25" s="13"/>
      <c r="K25" s="14">
        <f t="shared" si="0"/>
        <v>4469230</v>
      </c>
      <c r="L25" s="21"/>
    </row>
    <row r="26" spans="2:12" x14ac:dyDescent="0.3">
      <c r="B26" s="38"/>
      <c r="C26" s="31" t="s">
        <v>72</v>
      </c>
      <c r="D26" s="9">
        <v>1998207</v>
      </c>
      <c r="E26" s="10" t="s">
        <v>73</v>
      </c>
      <c r="F26" s="10" t="s">
        <v>74</v>
      </c>
      <c r="G26" s="11">
        <v>3000000</v>
      </c>
      <c r="H26" s="39">
        <v>2609750</v>
      </c>
      <c r="I26" s="39">
        <v>39000</v>
      </c>
      <c r="J26" s="20"/>
      <c r="K26" s="14">
        <f t="shared" si="0"/>
        <v>2648750</v>
      </c>
      <c r="L26" s="21" t="s">
        <v>69</v>
      </c>
    </row>
    <row r="27" spans="2:12" ht="17.25" thickBot="1" x14ac:dyDescent="0.35">
      <c r="B27" s="40"/>
      <c r="C27" s="31" t="s">
        <v>66</v>
      </c>
      <c r="D27" s="9">
        <v>2010777</v>
      </c>
      <c r="E27" s="10" t="s">
        <v>40</v>
      </c>
      <c r="F27" s="10" t="s">
        <v>75</v>
      </c>
      <c r="G27" s="11">
        <v>10000000</v>
      </c>
      <c r="H27" s="13">
        <v>1002470</v>
      </c>
      <c r="I27" s="13">
        <v>502810</v>
      </c>
      <c r="J27" s="20"/>
      <c r="K27" s="14">
        <f t="shared" si="0"/>
        <v>1505280</v>
      </c>
      <c r="L27" s="21"/>
    </row>
    <row r="28" spans="2:12" ht="17.25" thickBot="1" x14ac:dyDescent="0.35">
      <c r="B28" s="25"/>
      <c r="C28" s="26"/>
      <c r="D28" s="26"/>
      <c r="E28" s="26"/>
      <c r="F28" s="26"/>
      <c r="G28" s="27"/>
      <c r="H28" s="27"/>
      <c r="I28" s="27"/>
      <c r="J28" s="28"/>
      <c r="K28" s="29">
        <f>SUM(K21:K27)</f>
        <v>14745420</v>
      </c>
      <c r="L28" s="21"/>
    </row>
    <row r="29" spans="2:12" x14ac:dyDescent="0.3">
      <c r="B29" s="36" t="s">
        <v>76</v>
      </c>
      <c r="C29" s="31" t="s">
        <v>63</v>
      </c>
      <c r="D29" s="9">
        <v>2013819</v>
      </c>
      <c r="E29" s="10" t="s">
        <v>77</v>
      </c>
      <c r="F29" s="10" t="s">
        <v>78</v>
      </c>
      <c r="G29" s="11">
        <v>5000000</v>
      </c>
      <c r="H29" s="12">
        <v>4964760</v>
      </c>
      <c r="I29" s="20">
        <v>-270</v>
      </c>
      <c r="J29" s="20"/>
      <c r="K29" s="14">
        <f t="shared" si="0"/>
        <v>4964490</v>
      </c>
      <c r="L29" s="21"/>
    </row>
    <row r="30" spans="2:12" x14ac:dyDescent="0.3">
      <c r="B30" s="38"/>
      <c r="C30" s="31" t="s">
        <v>63</v>
      </c>
      <c r="D30" s="9">
        <v>2016097</v>
      </c>
      <c r="E30" s="10" t="s">
        <v>79</v>
      </c>
      <c r="F30" s="10" t="s">
        <v>80</v>
      </c>
      <c r="G30" s="11">
        <v>10000000</v>
      </c>
      <c r="H30" s="12">
        <v>9933540</v>
      </c>
      <c r="I30" s="20">
        <v>-1250</v>
      </c>
      <c r="J30" s="20"/>
      <c r="K30" s="14">
        <f t="shared" si="0"/>
        <v>9932290</v>
      </c>
      <c r="L30" s="21" t="s">
        <v>81</v>
      </c>
    </row>
    <row r="31" spans="2:12" x14ac:dyDescent="0.3">
      <c r="B31" s="38"/>
      <c r="C31" s="31" t="s">
        <v>66</v>
      </c>
      <c r="D31" s="9">
        <v>2025918</v>
      </c>
      <c r="E31" s="10" t="s">
        <v>82</v>
      </c>
      <c r="F31" s="10" t="s">
        <v>83</v>
      </c>
      <c r="G31" s="11">
        <v>15000000</v>
      </c>
      <c r="H31" s="13">
        <v>6969990</v>
      </c>
      <c r="I31" s="20">
        <v>-5290</v>
      </c>
      <c r="J31" s="20"/>
      <c r="K31" s="14">
        <f t="shared" si="0"/>
        <v>6964700</v>
      </c>
      <c r="L31" s="21"/>
    </row>
    <row r="32" spans="2:12" x14ac:dyDescent="0.3">
      <c r="B32" s="38"/>
      <c r="C32" s="31" t="s">
        <v>63</v>
      </c>
      <c r="D32" s="9">
        <v>2029701</v>
      </c>
      <c r="E32" s="10" t="s">
        <v>84</v>
      </c>
      <c r="F32" s="10" t="s">
        <v>85</v>
      </c>
      <c r="G32" s="11">
        <v>5000000</v>
      </c>
      <c r="H32" s="13">
        <v>1307000</v>
      </c>
      <c r="I32" s="20">
        <v>-20000</v>
      </c>
      <c r="J32" s="20"/>
      <c r="K32" s="14">
        <f t="shared" si="0"/>
        <v>1287000</v>
      </c>
      <c r="L32" s="21" t="s">
        <v>86</v>
      </c>
    </row>
    <row r="33" spans="2:16" x14ac:dyDescent="0.3">
      <c r="B33" s="38"/>
      <c r="C33" s="31" t="s">
        <v>87</v>
      </c>
      <c r="D33" s="9">
        <v>2029762</v>
      </c>
      <c r="E33" s="10" t="s">
        <v>88</v>
      </c>
      <c r="F33" s="10" t="s">
        <v>89</v>
      </c>
      <c r="G33" s="11">
        <v>1000000</v>
      </c>
      <c r="H33" s="13">
        <v>873600</v>
      </c>
      <c r="I33" s="20">
        <v>-10400</v>
      </c>
      <c r="J33" s="20"/>
      <c r="K33" s="14">
        <f t="shared" si="0"/>
        <v>863200</v>
      </c>
      <c r="L33" s="21"/>
    </row>
    <row r="34" spans="2:16" x14ac:dyDescent="0.3">
      <c r="B34" s="38"/>
      <c r="C34" s="31" t="s">
        <v>90</v>
      </c>
      <c r="D34" s="9">
        <v>2032759</v>
      </c>
      <c r="E34" s="10" t="s">
        <v>91</v>
      </c>
      <c r="F34" s="10" t="s">
        <v>83</v>
      </c>
      <c r="G34" s="11">
        <v>5000000</v>
      </c>
      <c r="H34" s="13">
        <v>2658750</v>
      </c>
      <c r="I34" s="20"/>
      <c r="J34" s="20"/>
      <c r="K34" s="14">
        <f t="shared" si="0"/>
        <v>2658750</v>
      </c>
      <c r="L34" s="21"/>
    </row>
    <row r="35" spans="2:16" x14ac:dyDescent="0.3">
      <c r="B35" s="38"/>
      <c r="C35" s="31" t="s">
        <v>90</v>
      </c>
      <c r="D35" s="9">
        <v>2036920</v>
      </c>
      <c r="E35" s="10" t="s">
        <v>92</v>
      </c>
      <c r="F35" s="10" t="s">
        <v>93</v>
      </c>
      <c r="G35" s="11">
        <v>20000000</v>
      </c>
      <c r="H35" s="39">
        <v>6553950</v>
      </c>
      <c r="I35" s="20">
        <v>-15850</v>
      </c>
      <c r="J35" s="20"/>
      <c r="K35" s="14">
        <f t="shared" si="0"/>
        <v>6538100</v>
      </c>
      <c r="L35" s="21"/>
    </row>
    <row r="36" spans="2:16" x14ac:dyDescent="0.3">
      <c r="B36" s="38"/>
      <c r="C36" s="31" t="s">
        <v>90</v>
      </c>
      <c r="D36" s="9">
        <v>2039545</v>
      </c>
      <c r="E36" s="10" t="s">
        <v>94</v>
      </c>
      <c r="F36" s="10" t="s">
        <v>93</v>
      </c>
      <c r="G36" s="11">
        <v>10000000</v>
      </c>
      <c r="H36" s="12">
        <v>9545800</v>
      </c>
      <c r="I36" s="20">
        <v>-9000</v>
      </c>
      <c r="J36" s="20"/>
      <c r="K36" s="14">
        <f t="shared" si="0"/>
        <v>9536800</v>
      </c>
      <c r="L36" s="21" t="s">
        <v>81</v>
      </c>
    </row>
    <row r="37" spans="2:16" x14ac:dyDescent="0.3">
      <c r="B37" s="38"/>
      <c r="C37" s="31" t="s">
        <v>95</v>
      </c>
      <c r="D37" s="9">
        <v>2045371</v>
      </c>
      <c r="E37" s="10" t="s">
        <v>96</v>
      </c>
      <c r="F37" s="10" t="s">
        <v>28</v>
      </c>
      <c r="G37" s="11">
        <v>3000000</v>
      </c>
      <c r="H37" s="20">
        <v>374480</v>
      </c>
      <c r="I37" s="20">
        <v>-3500</v>
      </c>
      <c r="J37" s="20"/>
      <c r="K37" s="14">
        <f t="shared" si="0"/>
        <v>370980</v>
      </c>
      <c r="L37" s="21"/>
    </row>
    <row r="38" spans="2:16" x14ac:dyDescent="0.3">
      <c r="B38" s="38"/>
      <c r="C38" s="31" t="s">
        <v>97</v>
      </c>
      <c r="D38" s="9">
        <v>2049507</v>
      </c>
      <c r="E38" s="10" t="s">
        <v>98</v>
      </c>
      <c r="F38" s="10" t="s">
        <v>99</v>
      </c>
      <c r="G38" s="11">
        <v>20000000</v>
      </c>
      <c r="H38" s="12">
        <v>19852100</v>
      </c>
      <c r="I38" s="20">
        <v>-51250</v>
      </c>
      <c r="J38" s="20"/>
      <c r="K38" s="14">
        <f>SUM(H38:J38)</f>
        <v>19800850</v>
      </c>
      <c r="L38" s="21"/>
    </row>
    <row r="39" spans="2:16" x14ac:dyDescent="0.3">
      <c r="B39" s="38"/>
      <c r="C39" s="31" t="s">
        <v>90</v>
      </c>
      <c r="D39" s="9">
        <v>2060182</v>
      </c>
      <c r="E39" s="10" t="s">
        <v>100</v>
      </c>
      <c r="F39" s="10" t="s">
        <v>101</v>
      </c>
      <c r="G39" s="11">
        <v>5000000</v>
      </c>
      <c r="H39" s="20">
        <v>908730</v>
      </c>
      <c r="I39" s="20"/>
      <c r="J39" s="20"/>
      <c r="K39" s="14">
        <f>SUM(H39:J39)</f>
        <v>908730</v>
      </c>
      <c r="L39" s="21" t="s">
        <v>102</v>
      </c>
    </row>
    <row r="40" spans="2:16" ht="17.25" thickBot="1" x14ac:dyDescent="0.35">
      <c r="B40" s="38"/>
      <c r="C40" s="31" t="s">
        <v>97</v>
      </c>
      <c r="D40" s="9">
        <v>2067615</v>
      </c>
      <c r="E40" s="10" t="s">
        <v>103</v>
      </c>
      <c r="F40" s="10" t="s">
        <v>104</v>
      </c>
      <c r="G40" s="11">
        <v>20000000</v>
      </c>
      <c r="H40" s="13">
        <v>7944940</v>
      </c>
      <c r="I40" s="13">
        <v>2636910</v>
      </c>
      <c r="J40" s="20">
        <v>-2500</v>
      </c>
      <c r="K40" s="14">
        <f t="shared" ref="K40:K51" si="1">SUM(H40:J40)</f>
        <v>10579350</v>
      </c>
      <c r="L40" s="21"/>
    </row>
    <row r="41" spans="2:16" ht="17.25" thickBot="1" x14ac:dyDescent="0.35">
      <c r="B41" s="25"/>
      <c r="C41" s="26"/>
      <c r="D41" s="26"/>
      <c r="E41" s="26"/>
      <c r="F41" s="26"/>
      <c r="G41" s="27"/>
      <c r="H41" s="27"/>
      <c r="I41" s="27"/>
      <c r="J41" s="28"/>
      <c r="K41" s="29">
        <f>SUM(K29:K40)</f>
        <v>74405240</v>
      </c>
      <c r="L41" s="21"/>
    </row>
    <row r="42" spans="2:16" x14ac:dyDescent="0.3">
      <c r="B42" s="36" t="s">
        <v>105</v>
      </c>
      <c r="C42" s="31" t="s">
        <v>90</v>
      </c>
      <c r="D42" s="9">
        <v>2077401</v>
      </c>
      <c r="E42" s="10" t="s">
        <v>106</v>
      </c>
      <c r="F42" s="10" t="s">
        <v>107</v>
      </c>
      <c r="G42" s="11">
        <v>40000000</v>
      </c>
      <c r="H42" s="12">
        <v>39755780</v>
      </c>
      <c r="I42" s="20">
        <v>-9320</v>
      </c>
      <c r="J42" s="20"/>
      <c r="K42" s="14">
        <f>SUM(H42:J42)</f>
        <v>39746460</v>
      </c>
      <c r="L42" s="21" t="s">
        <v>108</v>
      </c>
      <c r="M42" s="41" t="s">
        <v>109</v>
      </c>
      <c r="N42" s="42"/>
      <c r="O42" s="42"/>
      <c r="P42" s="42"/>
    </row>
    <row r="43" spans="2:16" x14ac:dyDescent="0.3">
      <c r="B43" s="38"/>
      <c r="C43" s="31" t="s">
        <v>63</v>
      </c>
      <c r="D43" s="9">
        <v>2082112</v>
      </c>
      <c r="E43" s="10" t="s">
        <v>110</v>
      </c>
      <c r="F43" s="10" t="s">
        <v>111</v>
      </c>
      <c r="G43" s="11">
        <v>20000000</v>
      </c>
      <c r="H43" s="12">
        <v>19851100</v>
      </c>
      <c r="I43" s="20">
        <v>-10000</v>
      </c>
      <c r="J43" s="20"/>
      <c r="K43" s="14">
        <f t="shared" ref="K43" si="2">SUM(H43:J43)</f>
        <v>19841100</v>
      </c>
      <c r="L43" s="21" t="s">
        <v>112</v>
      </c>
      <c r="M43" s="41" t="s">
        <v>113</v>
      </c>
      <c r="N43" s="42"/>
      <c r="O43" s="42"/>
      <c r="P43" s="42"/>
    </row>
    <row r="44" spans="2:16" x14ac:dyDescent="0.3">
      <c r="B44" s="38"/>
      <c r="C44" s="31" t="s">
        <v>114</v>
      </c>
      <c r="D44" s="9">
        <v>2085789</v>
      </c>
      <c r="E44" s="10" t="s">
        <v>115</v>
      </c>
      <c r="F44" s="10" t="s">
        <v>116</v>
      </c>
      <c r="G44" s="11">
        <v>5000000</v>
      </c>
      <c r="H44" s="13">
        <v>4949710</v>
      </c>
      <c r="I44" s="20">
        <v>-17450</v>
      </c>
      <c r="J44" s="20"/>
      <c r="K44" s="14">
        <f t="shared" si="1"/>
        <v>4932260</v>
      </c>
      <c r="L44" s="21" t="s">
        <v>117</v>
      </c>
    </row>
    <row r="45" spans="2:16" x14ac:dyDescent="0.3">
      <c r="B45" s="38"/>
      <c r="C45" s="31" t="s">
        <v>97</v>
      </c>
      <c r="D45" s="9">
        <v>2090386</v>
      </c>
      <c r="E45" s="10" t="s">
        <v>118</v>
      </c>
      <c r="F45" s="10" t="s">
        <v>119</v>
      </c>
      <c r="G45" s="11">
        <v>30000000</v>
      </c>
      <c r="H45" s="13">
        <v>23465750</v>
      </c>
      <c r="I45" s="20">
        <v>-33750</v>
      </c>
      <c r="J45" s="20"/>
      <c r="K45" s="14">
        <f t="shared" si="1"/>
        <v>23432000</v>
      </c>
      <c r="L45" s="21" t="s">
        <v>108</v>
      </c>
    </row>
    <row r="46" spans="2:16" x14ac:dyDescent="0.3">
      <c r="B46" s="38"/>
      <c r="C46" s="31" t="s">
        <v>120</v>
      </c>
      <c r="D46" s="9">
        <v>2096084</v>
      </c>
      <c r="E46" s="10" t="s">
        <v>121</v>
      </c>
      <c r="F46" s="10" t="s">
        <v>122</v>
      </c>
      <c r="G46" s="11">
        <v>2500000</v>
      </c>
      <c r="H46" s="13">
        <v>1130400</v>
      </c>
      <c r="I46" s="20"/>
      <c r="J46" s="20"/>
      <c r="K46" s="14">
        <f t="shared" si="1"/>
        <v>1130400</v>
      </c>
      <c r="L46" s="21" t="s">
        <v>123</v>
      </c>
    </row>
    <row r="47" spans="2:16" x14ac:dyDescent="0.3">
      <c r="B47" s="38"/>
      <c r="C47" s="31" t="s">
        <v>97</v>
      </c>
      <c r="D47" s="9">
        <v>2099043</v>
      </c>
      <c r="E47" s="10" t="s">
        <v>124</v>
      </c>
      <c r="F47" s="10" t="s">
        <v>125</v>
      </c>
      <c r="G47" s="11">
        <v>30000000</v>
      </c>
      <c r="H47" s="12">
        <v>29712980</v>
      </c>
      <c r="I47" s="20">
        <v>-22300</v>
      </c>
      <c r="J47" s="20"/>
      <c r="K47" s="14">
        <f t="shared" si="1"/>
        <v>29690680</v>
      </c>
      <c r="L47" s="21" t="s">
        <v>108</v>
      </c>
    </row>
    <row r="48" spans="2:16" x14ac:dyDescent="0.3">
      <c r="B48" s="38"/>
      <c r="C48" s="31" t="s">
        <v>126</v>
      </c>
      <c r="D48" s="9">
        <v>2105782</v>
      </c>
      <c r="E48" s="10" t="s">
        <v>127</v>
      </c>
      <c r="F48" s="10" t="s">
        <v>128</v>
      </c>
      <c r="G48" s="11">
        <v>20000000</v>
      </c>
      <c r="H48" s="20"/>
      <c r="I48" s="20"/>
      <c r="J48" s="20"/>
      <c r="K48" s="14">
        <f t="shared" si="1"/>
        <v>0</v>
      </c>
      <c r="L48" s="21" t="s">
        <v>129</v>
      </c>
    </row>
    <row r="49" spans="2:16" x14ac:dyDescent="0.3">
      <c r="B49" s="38"/>
      <c r="C49" s="31" t="s">
        <v>63</v>
      </c>
      <c r="D49" s="9">
        <v>2109803</v>
      </c>
      <c r="E49" s="10" t="s">
        <v>130</v>
      </c>
      <c r="F49" s="10" t="s">
        <v>131</v>
      </c>
      <c r="G49" s="11">
        <v>30000000</v>
      </c>
      <c r="H49" s="20">
        <v>854800</v>
      </c>
      <c r="I49" s="20">
        <v>-4900</v>
      </c>
      <c r="J49" s="20"/>
      <c r="K49" s="14">
        <f t="shared" si="1"/>
        <v>849900</v>
      </c>
      <c r="L49" s="21" t="s">
        <v>132</v>
      </c>
      <c r="M49" t="s">
        <v>26</v>
      </c>
    </row>
    <row r="50" spans="2:16" x14ac:dyDescent="0.3">
      <c r="B50" s="38"/>
      <c r="C50" s="31" t="s">
        <v>63</v>
      </c>
      <c r="D50" s="9">
        <v>2109810</v>
      </c>
      <c r="E50" s="10" t="s">
        <v>133</v>
      </c>
      <c r="F50" s="10" t="s">
        <v>134</v>
      </c>
      <c r="G50" s="11">
        <v>30000000</v>
      </c>
      <c r="H50" s="13">
        <v>5134200</v>
      </c>
      <c r="I50" s="20">
        <v>-20850</v>
      </c>
      <c r="J50" s="20"/>
      <c r="K50" s="14">
        <f t="shared" si="1"/>
        <v>5113350</v>
      </c>
      <c r="L50" s="21"/>
      <c r="M50" t="s">
        <v>135</v>
      </c>
    </row>
    <row r="51" spans="2:16" x14ac:dyDescent="0.3">
      <c r="B51" s="38"/>
      <c r="C51" s="31" t="s">
        <v>90</v>
      </c>
      <c r="D51" s="9">
        <v>2112449</v>
      </c>
      <c r="E51" s="10" t="s">
        <v>136</v>
      </c>
      <c r="F51" s="10" t="s">
        <v>137</v>
      </c>
      <c r="G51" s="11">
        <v>30000000</v>
      </c>
      <c r="H51" s="12">
        <v>22462320</v>
      </c>
      <c r="I51" s="12">
        <v>6782440</v>
      </c>
      <c r="J51" s="20"/>
      <c r="K51" s="14">
        <f t="shared" si="1"/>
        <v>29244760</v>
      </c>
      <c r="L51" s="21" t="s">
        <v>138</v>
      </c>
    </row>
    <row r="52" spans="2:16" ht="17.25" thickBot="1" x14ac:dyDescent="0.35">
      <c r="B52" s="37"/>
      <c r="C52" s="43"/>
      <c r="D52" s="44"/>
      <c r="E52" s="45"/>
      <c r="F52" s="45"/>
      <c r="G52" s="46"/>
      <c r="H52" s="47"/>
      <c r="I52" s="47"/>
      <c r="J52" s="47"/>
      <c r="K52" s="48">
        <f t="shared" si="0"/>
        <v>0</v>
      </c>
      <c r="L52" s="19"/>
    </row>
    <row r="53" spans="2:16" ht="17.25" thickBot="1" x14ac:dyDescent="0.35">
      <c r="B53" s="25"/>
      <c r="C53" s="26"/>
      <c r="D53" s="26"/>
      <c r="E53" s="26"/>
      <c r="F53" s="26"/>
      <c r="G53" s="49"/>
      <c r="H53" s="49"/>
      <c r="I53" s="49"/>
      <c r="J53" s="50"/>
      <c r="K53" s="51">
        <f>SUM(K42:K52)</f>
        <v>153980910</v>
      </c>
      <c r="L53" s="52"/>
    </row>
    <row r="54" spans="2:16" x14ac:dyDescent="0.3">
      <c r="B54" s="36" t="s">
        <v>139</v>
      </c>
      <c r="C54" s="31" t="s">
        <v>140</v>
      </c>
      <c r="D54" s="9">
        <v>2122120</v>
      </c>
      <c r="E54" s="10" t="s">
        <v>141</v>
      </c>
      <c r="F54" s="10" t="s">
        <v>142</v>
      </c>
      <c r="G54" s="11">
        <v>10000000</v>
      </c>
      <c r="H54" s="13">
        <v>167500</v>
      </c>
      <c r="I54" s="20"/>
      <c r="J54" s="20"/>
      <c r="K54" s="14">
        <f>SUM(H54:J54)</f>
        <v>167500</v>
      </c>
      <c r="L54" s="21"/>
      <c r="M54" s="41"/>
      <c r="N54" s="42"/>
      <c r="O54" s="42"/>
      <c r="P54" s="42"/>
    </row>
    <row r="55" spans="2:16" x14ac:dyDescent="0.3">
      <c r="B55" s="38"/>
      <c r="C55" s="53"/>
      <c r="D55" s="54"/>
      <c r="E55" s="55"/>
      <c r="F55" s="55"/>
      <c r="G55" s="56"/>
      <c r="H55" s="13"/>
      <c r="I55" s="20"/>
      <c r="J55" s="20"/>
      <c r="K55" s="14">
        <f t="shared" ref="K55:K56" si="3">SUM(H55:J55)</f>
        <v>0</v>
      </c>
      <c r="L55" s="21"/>
      <c r="M55" s="41"/>
      <c r="N55" s="42"/>
      <c r="O55" s="42"/>
      <c r="P55" s="42"/>
    </row>
    <row r="56" spans="2:16" x14ac:dyDescent="0.3">
      <c r="B56" s="38"/>
      <c r="C56" s="53"/>
      <c r="D56" s="54"/>
      <c r="E56" s="55"/>
      <c r="F56" s="55"/>
      <c r="G56" s="56"/>
      <c r="H56" s="13"/>
      <c r="I56" s="20"/>
      <c r="J56" s="20"/>
      <c r="K56" s="14">
        <f t="shared" si="3"/>
        <v>0</v>
      </c>
      <c r="L56" s="21"/>
    </row>
    <row r="57" spans="2:16" x14ac:dyDescent="0.3">
      <c r="B57" s="38"/>
      <c r="C57" s="53"/>
      <c r="D57" s="54"/>
      <c r="E57" s="55"/>
      <c r="F57" s="55"/>
      <c r="G57" s="56"/>
      <c r="H57" s="13"/>
      <c r="I57" s="20"/>
      <c r="J57" s="20"/>
      <c r="K57" s="14">
        <f>SUM(H57:J57)</f>
        <v>0</v>
      </c>
      <c r="L57" s="21"/>
    </row>
    <row r="58" spans="2:16" ht="17.25" thickBot="1" x14ac:dyDescent="0.35">
      <c r="B58" s="38"/>
      <c r="C58" s="53"/>
      <c r="D58" s="54"/>
      <c r="E58" s="55"/>
      <c r="F58" s="55"/>
      <c r="G58" s="56"/>
      <c r="H58" s="13"/>
      <c r="I58" s="20"/>
      <c r="J58" s="20"/>
      <c r="K58" s="14">
        <f>SUM(H58:J58)</f>
        <v>0</v>
      </c>
      <c r="L58" s="21"/>
    </row>
    <row r="59" spans="2:16" ht="17.25" thickBot="1" x14ac:dyDescent="0.35">
      <c r="B59" s="25"/>
      <c r="C59" s="26"/>
      <c r="D59" s="26"/>
      <c r="E59" s="26"/>
      <c r="F59" s="26"/>
      <c r="G59" s="49"/>
      <c r="H59" s="49"/>
      <c r="I59" s="49"/>
      <c r="J59" s="50"/>
      <c r="K59" s="51">
        <f>SUM(K54:K58)</f>
        <v>167500</v>
      </c>
      <c r="L59" s="52"/>
    </row>
    <row r="60" spans="2:16" ht="17.25" thickBot="1" x14ac:dyDescent="0.35">
      <c r="B60" s="25"/>
      <c r="C60" s="26"/>
      <c r="D60" s="26"/>
      <c r="E60" s="26"/>
      <c r="F60" s="26"/>
      <c r="G60" s="49"/>
      <c r="H60" s="49"/>
      <c r="I60" s="57" t="s">
        <v>143</v>
      </c>
      <c r="J60" s="58"/>
      <c r="K60" s="59">
        <f>K11+K20+K28+K41+K53+K59</f>
        <v>334031698</v>
      </c>
      <c r="L60" s="60"/>
    </row>
    <row r="61" spans="2:16" ht="17.25" thickBot="1" x14ac:dyDescent="0.35">
      <c r="B61" s="61"/>
      <c r="C61" s="62"/>
      <c r="D61" s="62"/>
      <c r="E61" s="62"/>
      <c r="F61" s="62"/>
      <c r="G61" s="62"/>
      <c r="H61" s="62"/>
      <c r="I61" s="63" t="s">
        <v>144</v>
      </c>
      <c r="J61" s="64"/>
      <c r="K61" s="59">
        <f>K11+K17+K20+K28+K41+K53+K59</f>
        <v>574031698</v>
      </c>
      <c r="L61" s="65"/>
    </row>
  </sheetData>
  <mergeCells count="23">
    <mergeCell ref="B59:F59"/>
    <mergeCell ref="B60:F60"/>
    <mergeCell ref="I60:J60"/>
    <mergeCell ref="I61:J61"/>
    <mergeCell ref="B42:B52"/>
    <mergeCell ref="M42:P42"/>
    <mergeCell ref="M43:P43"/>
    <mergeCell ref="B53:F53"/>
    <mergeCell ref="B54:B58"/>
    <mergeCell ref="M54:P54"/>
    <mergeCell ref="M55:P55"/>
    <mergeCell ref="B18:B19"/>
    <mergeCell ref="B20:F20"/>
    <mergeCell ref="B21:B27"/>
    <mergeCell ref="B28:F28"/>
    <mergeCell ref="B29:B40"/>
    <mergeCell ref="B41:F41"/>
    <mergeCell ref="H2:J2"/>
    <mergeCell ref="B3:B10"/>
    <mergeCell ref="B11:F11"/>
    <mergeCell ref="B12:B16"/>
    <mergeCell ref="L12:L15"/>
    <mergeCell ref="B17:F17"/>
  </mergeCells>
  <phoneticPr fontId="1" type="noConversion"/>
  <pageMargins left="3.937007874015748E-2" right="3.937007874015748E-2" top="0.55118110236220474" bottom="0.55118110236220474" header="0.31496062992125984" footer="0.31496062992125984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대표</vt:lpstr>
      <vt:lpstr>대표!Print_Area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2026-04-10T05:49:16Z</dcterms:created>
  <dcterms:modified xsi:type="dcterms:W3CDTF">2026-04-10T05:49:34Z</dcterms:modified>
</cp:coreProperties>
</file>