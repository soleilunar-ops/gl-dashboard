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프로젝트\최종프로젝트\GL\자료\"/>
    </mc:Choice>
  </mc:AlternateContent>
  <xr:revisionPtr revIDLastSave="0" documentId="13_ncr:1_{210B2AF6-B53F-46A8-9ADC-EB392FAEC712}" xr6:coauthVersionLast="36" xr6:coauthVersionMax="36" xr10:uidLastSave="{00000000-0000-0000-0000-000000000000}"/>
  <bookViews>
    <workbookView xWindow="0" yWindow="0" windowWidth="16380" windowHeight="8196" tabRatio="500" activeTab="2" xr2:uid="{00000000-000D-0000-FFFF-FFFF00000000}"/>
  </bookViews>
  <sheets>
    <sheet name="판매량" sheetId="1" r:id="rId1"/>
    <sheet name="납품량" sheetId="2" r:id="rId2"/>
    <sheet name="광고비등비용" sheetId="6" r:id="rId3"/>
  </sheets>
  <definedNames>
    <definedName name="_xlnm.Print_Area" localSheetId="2">광고비등비용!$A$1:$H$20</definedName>
  </definedNames>
  <calcPr calcId="191029"/>
</workbook>
</file>

<file path=xl/calcChain.xml><?xml version="1.0" encoding="utf-8"?>
<calcChain xmlns="http://schemas.openxmlformats.org/spreadsheetml/2006/main">
  <c r="G19" i="6" l="1"/>
  <c r="E19" i="6"/>
  <c r="D19" i="6"/>
  <c r="B19" i="6"/>
  <c r="F18" i="6"/>
  <c r="F17" i="6"/>
  <c r="F16" i="6"/>
  <c r="C15" i="6"/>
  <c r="C19" i="6" s="1"/>
  <c r="F14" i="6"/>
  <c r="F13" i="6"/>
  <c r="F12" i="6"/>
  <c r="G11" i="6"/>
  <c r="D11" i="6"/>
  <c r="C11" i="6"/>
  <c r="B11" i="6"/>
  <c r="F10" i="6"/>
  <c r="F9" i="6"/>
  <c r="F8" i="6"/>
  <c r="F7" i="6"/>
  <c r="C7" i="6"/>
  <c r="C6" i="6"/>
  <c r="F6" i="6" s="1"/>
  <c r="F5" i="6"/>
  <c r="E4" i="6"/>
  <c r="F4" i="6" s="1"/>
  <c r="F11" i="6" s="1"/>
  <c r="H11" i="6" l="1"/>
  <c r="H9" i="6"/>
  <c r="F15" i="6"/>
  <c r="F19" i="6" s="1"/>
  <c r="E11" i="6"/>
  <c r="H17" i="6" l="1"/>
  <c r="H19" i="6"/>
  <c r="D33" i="2" l="1"/>
  <c r="C33" i="2"/>
  <c r="D32" i="2"/>
  <c r="C32" i="2"/>
  <c r="D31" i="2"/>
  <c r="C31" i="2"/>
  <c r="D33" i="1"/>
  <c r="C33" i="1"/>
  <c r="D32" i="1"/>
  <c r="C32" i="1"/>
  <c r="D31" i="1"/>
  <c r="C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6" authorId="0" shapeId="0" xr:uid="{2657BEA0-8080-463B-B7AE-35459046AD94}">
      <text>
        <r>
          <rPr>
            <b/>
            <sz val="9"/>
            <color indexed="81"/>
            <rFont val="돋움"/>
            <family val="3"/>
            <charset val="129"/>
          </rPr>
          <t>박상병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떨어진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쿠팡마진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광고로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대체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<sst xmlns="http://schemas.openxmlformats.org/spreadsheetml/2006/main" count="158" uniqueCount="54">
  <si>
    <t>월별 판매량 현황 (2024 ~ 2026)</t>
  </si>
  <si>
    <t>연도</t>
  </si>
  <si>
    <t>월</t>
  </si>
  <si>
    <t>수량 (EA)</t>
  </si>
  <si>
    <t>공급가액 (원)</t>
  </si>
  <si>
    <t>2024년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</si>
  <si>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</si>
  <si>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</si>
  <si>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</si>
  <si>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</si>
  <si>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</si>
  <si>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</si>
  <si>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</si>
  <si>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</si>
  <si>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</si>
  <si>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</si>
  <si>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</si>
  <si>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</si>
  <si>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2025년</t>
  </si>
  <si>
    <t>2026년</t>
  </si>
  <si>
    <t>2024년 합계</t>
  </si>
  <si>
    <t>2025년 합계</t>
  </si>
  <si>
    <t>2026년 합계</t>
  </si>
  <si>
    <t>월별 납품량 현황 (2024 ~ 2026)</t>
  </si>
  <si>
    <t>확정수량 (EA)</t>
  </si>
  <si>
    <t>총확정매입가 (원)</t>
  </si>
  <si>
    <t>쿠팡 광고비등 비용현황</t>
    <phoneticPr fontId="9" type="noConversion"/>
  </si>
  <si>
    <t>년월</t>
    <phoneticPr fontId="9" type="noConversion"/>
  </si>
  <si>
    <t>쿠폰(즉시할인)</t>
    <phoneticPr fontId="9" type="noConversion"/>
  </si>
  <si>
    <t>광고비</t>
    <phoneticPr fontId="9" type="noConversion"/>
  </si>
  <si>
    <t>밀크런</t>
    <phoneticPr fontId="9" type="noConversion"/>
  </si>
  <si>
    <t>프리미엄데이터</t>
    <phoneticPr fontId="9" type="noConversion"/>
  </si>
  <si>
    <t>계</t>
    <phoneticPr fontId="9" type="noConversion"/>
  </si>
  <si>
    <t>24년 09월</t>
    <phoneticPr fontId="9" type="noConversion"/>
  </si>
  <si>
    <t>24년 10월</t>
    <phoneticPr fontId="9" type="noConversion"/>
  </si>
  <si>
    <t>24년 11월</t>
  </si>
  <si>
    <t>24년 12월</t>
  </si>
  <si>
    <t>25년 01월</t>
    <phoneticPr fontId="9" type="noConversion"/>
  </si>
  <si>
    <t>25년시즌 매출</t>
    <phoneticPr fontId="9" type="noConversion"/>
  </si>
  <si>
    <t>비용률</t>
    <phoneticPr fontId="9" type="noConversion"/>
  </si>
  <si>
    <t>25년 02월</t>
    <phoneticPr fontId="9" type="noConversion"/>
  </si>
  <si>
    <t>25년 03월</t>
    <phoneticPr fontId="9" type="noConversion"/>
  </si>
  <si>
    <t>반품</t>
    <phoneticPr fontId="9" type="noConversion"/>
  </si>
  <si>
    <t>24년시즌 합계</t>
    <phoneticPr fontId="9" type="noConversion"/>
  </si>
  <si>
    <t>25년 09월</t>
    <phoneticPr fontId="9" type="noConversion"/>
  </si>
  <si>
    <t>25년 10월</t>
    <phoneticPr fontId="9" type="noConversion"/>
  </si>
  <si>
    <t>25년 11월</t>
    <phoneticPr fontId="9" type="noConversion"/>
  </si>
  <si>
    <t>25년 12월</t>
    <phoneticPr fontId="9" type="noConversion"/>
  </si>
  <si>
    <t>26년 01월</t>
    <phoneticPr fontId="9" type="noConversion"/>
  </si>
  <si>
    <t>26년 02월</t>
    <phoneticPr fontId="9" type="noConversion"/>
  </si>
  <si>
    <t>26년 03월</t>
    <phoneticPr fontId="9" type="noConversion"/>
  </si>
  <si>
    <t>반품예상</t>
    <phoneticPr fontId="9" type="noConversion"/>
  </si>
  <si>
    <t>25년시즌 합계</t>
    <phoneticPr fontId="9" type="noConversion"/>
  </si>
  <si>
    <t>(부가세 포함)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</si>
</sst>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7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b/>
      <sz val="11"/>
      <color rgb="FFFFFFFF"/>
      <name val="Noto Sans CJK SC"/>
      <family val="2"/>
    </font>
    <font>
      <sz val="10"/>
      <name val="Arial"/>
      <family val="2"/>
    </font>
    <font>
      <b/>
      <sz val="10"/>
      <color rgb="FF1F3864"/>
      <name val="Arial"/>
      <family val="2"/>
    </font>
    <font>
      <b/>
      <sz val="10"/>
      <name val="Arial"/>
      <family val="2"/>
    </font>
    <font>
      <sz val="11"/>
      <color theme="1"/>
      <name val="맑은 고딕"/>
      <family val="2"/>
      <scheme val="minor"/>
    </font>
    <font>
      <b/>
      <sz val="15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BDD7EE"/>
        <bgColor rgb="FFB8CCE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6" fillId="0" borderId="0"/>
    <xf numFmtId="41" fontId="6" fillId="0" borderId="0" applyFont="0" applyFill="0" applyBorder="0" applyAlignment="0" applyProtection="0">
      <alignment vertical="center"/>
    </xf>
  </cellStyleXfs>
  <cellXfs count="53">
    <xf numFmtId="0" fontId="0" fillId="0" borderId="0" xfId="0" applyAlignment="1"/>
    <xf numFmtId="0" fontId="0" fillId="0" borderId="0" xfId="0" applyAlignment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4" fillId="6" borderId="1" xfId="0" applyFont="1" applyFill="1" applyBorder="1" applyAlignment="1">
      <alignment horizontal="center" vertical="center"/>
    </xf>
    <xf numFmtId="0" fontId="0" fillId="0" borderId="2" xfId="0" applyBorder="1"/>
    <xf numFmtId="0" fontId="7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6" fillId="0" borderId="0" xfId="1" applyAlignment="1">
      <alignment horizontal="center" vertical="center"/>
    </xf>
    <xf numFmtId="0" fontId="10" fillId="0" borderId="0" xfId="1" applyFont="1" applyAlignment="1">
      <alignment horizontal="right" vertical="center"/>
    </xf>
    <xf numFmtId="0" fontId="11" fillId="7" borderId="3" xfId="1" applyFont="1" applyFill="1" applyBorder="1" applyAlignment="1">
      <alignment horizontal="center" vertical="center"/>
    </xf>
    <xf numFmtId="0" fontId="11" fillId="7" borderId="4" xfId="1" applyFont="1" applyFill="1" applyBorder="1" applyAlignment="1">
      <alignment horizontal="center" vertical="center"/>
    </xf>
    <xf numFmtId="0" fontId="11" fillId="7" borderId="5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41" fontId="12" fillId="0" borderId="7" xfId="2" applyFont="1" applyBorder="1" applyAlignment="1">
      <alignment horizontal="center" vertical="center"/>
    </xf>
    <xf numFmtId="41" fontId="12" fillId="0" borderId="8" xfId="1" applyNumberFormat="1" applyFont="1" applyBorder="1" applyAlignment="1">
      <alignment horizontal="center" vertical="center"/>
    </xf>
    <xf numFmtId="41" fontId="10" fillId="0" borderId="0" xfId="2" applyFont="1" applyAlignment="1">
      <alignment horizontal="center" vertical="center"/>
    </xf>
    <xf numFmtId="41" fontId="11" fillId="0" borderId="0" xfId="2" applyFont="1" applyAlignment="1">
      <alignment horizontal="center" vertical="center"/>
    </xf>
    <xf numFmtId="0" fontId="6" fillId="0" borderId="7" xfId="1" applyBorder="1" applyAlignment="1">
      <alignment horizontal="center" vertical="center"/>
    </xf>
    <xf numFmtId="41" fontId="11" fillId="0" borderId="0" xfId="2" applyFont="1" applyFill="1" applyAlignment="1">
      <alignment horizontal="center" vertical="center"/>
    </xf>
    <xf numFmtId="10" fontId="13" fillId="0" borderId="0" xfId="2" applyNumberFormat="1" applyFont="1" applyFill="1" applyAlignment="1">
      <alignment horizontal="center" vertical="center"/>
    </xf>
    <xf numFmtId="41" fontId="13" fillId="0" borderId="0" xfId="2" applyFont="1" applyAlignment="1">
      <alignment horizontal="center" vertical="center"/>
    </xf>
    <xf numFmtId="0" fontId="11" fillId="8" borderId="6" xfId="1" applyFont="1" applyFill="1" applyBorder="1" applyAlignment="1">
      <alignment horizontal="center" vertical="center"/>
    </xf>
    <xf numFmtId="41" fontId="11" fillId="8" borderId="7" xfId="2" applyFont="1" applyFill="1" applyBorder="1" applyAlignment="1">
      <alignment horizontal="center" vertical="center"/>
    </xf>
    <xf numFmtId="41" fontId="11" fillId="8" borderId="8" xfId="2" applyFont="1" applyFill="1" applyBorder="1" applyAlignment="1">
      <alignment horizontal="center" vertical="center"/>
    </xf>
    <xf numFmtId="41" fontId="11" fillId="8" borderId="0" xfId="2" applyFont="1" applyFill="1" applyAlignment="1">
      <alignment horizontal="center" vertical="center"/>
    </xf>
    <xf numFmtId="10" fontId="13" fillId="8" borderId="0" xfId="2" applyNumberFormat="1" applyFont="1" applyFill="1" applyAlignment="1">
      <alignment horizontal="center" vertical="center"/>
    </xf>
    <xf numFmtId="41" fontId="12" fillId="9" borderId="7" xfId="2" applyFont="1" applyFill="1" applyBorder="1" applyAlignment="1">
      <alignment horizontal="center" vertical="center"/>
    </xf>
    <xf numFmtId="41" fontId="12" fillId="9" borderId="8" xfId="1" applyNumberFormat="1" applyFont="1" applyFill="1" applyBorder="1" applyAlignment="1">
      <alignment horizontal="center" vertical="center"/>
    </xf>
    <xf numFmtId="41" fontId="12" fillId="0" borderId="0" xfId="2" applyFont="1" applyAlignment="1">
      <alignment horizontal="center" vertical="center"/>
    </xf>
    <xf numFmtId="0" fontId="10" fillId="9" borderId="6" xfId="1" applyFont="1" applyFill="1" applyBorder="1" applyAlignment="1">
      <alignment horizontal="center" vertical="center"/>
    </xf>
    <xf numFmtId="41" fontId="12" fillId="0" borderId="7" xfId="2" applyFont="1" applyFill="1" applyBorder="1" applyAlignment="1">
      <alignment horizontal="center" vertical="center"/>
    </xf>
    <xf numFmtId="41" fontId="12" fillId="0" borderId="8" xfId="1" applyNumberFormat="1" applyFont="1" applyFill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41" fontId="12" fillId="9" borderId="10" xfId="2" applyFont="1" applyFill="1" applyBorder="1" applyAlignment="1">
      <alignment horizontal="center" vertical="center"/>
    </xf>
    <xf numFmtId="41" fontId="12" fillId="0" borderId="10" xfId="2" applyFont="1" applyBorder="1" applyAlignment="1">
      <alignment horizontal="center" vertical="center"/>
    </xf>
    <xf numFmtId="10" fontId="13" fillId="0" borderId="0" xfId="2" applyNumberFormat="1" applyFont="1" applyAlignment="1">
      <alignment horizontal="center" vertical="center"/>
    </xf>
    <xf numFmtId="41" fontId="13" fillId="0" borderId="0" xfId="1" applyNumberFormat="1" applyFont="1" applyAlignment="1">
      <alignment horizontal="center" vertical="center"/>
    </xf>
    <xf numFmtId="0" fontId="11" fillId="8" borderId="11" xfId="1" applyFont="1" applyFill="1" applyBorder="1" applyAlignment="1">
      <alignment horizontal="center" vertical="center"/>
    </xf>
    <xf numFmtId="41" fontId="11" fillId="8" borderId="12" xfId="2" applyFont="1" applyFill="1" applyBorder="1" applyAlignment="1">
      <alignment horizontal="center" vertical="center"/>
    </xf>
    <xf numFmtId="41" fontId="11" fillId="8" borderId="13" xfId="2" applyFont="1" applyFill="1" applyBorder="1" applyAlignment="1">
      <alignment horizontal="center" vertical="center"/>
    </xf>
    <xf numFmtId="41" fontId="11" fillId="8" borderId="14" xfId="1" applyNumberFormat="1" applyFont="1" applyFill="1" applyBorder="1" applyAlignment="1">
      <alignment horizontal="center" vertical="center"/>
    </xf>
    <xf numFmtId="10" fontId="13" fillId="8" borderId="0" xfId="2" applyNumberFormat="1" applyFont="1" applyFill="1" applyBorder="1" applyAlignment="1">
      <alignment horizontal="center" vertical="center"/>
    </xf>
    <xf numFmtId="41" fontId="0" fillId="0" borderId="0" xfId="2" applyFont="1" applyAlignment="1">
      <alignment horizontal="center" vertical="center"/>
    </xf>
    <xf numFmtId="41" fontId="11" fillId="0" borderId="0" xfId="1" applyNumberFormat="1" applyFont="1" applyAlignment="1">
      <alignment horizontal="center" vertical="center"/>
    </xf>
    <xf numFmtId="41" fontId="10" fillId="0" borderId="0" xfId="1" applyNumberFormat="1" applyFont="1" applyAlignment="1">
      <alignment horizontal="center" vertical="center"/>
    </xf>
  </cellXfs>
  <cellStyles count="3">
    <cellStyle name="쉼표 [0] 2" xfId="2" xr:uid="{170C2985-3265-4729-8DB7-99054F6C62F7}"/>
    <cellStyle name="표준" xfId="0" builtinId="0"/>
    <cellStyle name="표준 4" xfId="1" xr:uid="{406CF6E3-7AF9-4804-884A-E3E6BF7FB02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showGridLines="0" zoomScaleNormal="100" workbookViewId="0">
      <pane ySplit="2" topLeftCell="A6" activePane="bottomLeft" state="frozen"/>
      <selection pane="bottomLeft" activeCell="A11" sqref="A11"/>
    </sheetView>
  </sheetViews>
  <sheetFormatPr defaultColWidth="8.6640625" defaultRowHeight="14.4"/>
  <cols>
    <col min="1" max="1" width="10" style="1" customWidth="1"/>
    <col min="2" max="2" width="8" style="1" customWidth="1"/>
    <col min="3" max="3" width="16" style="1" customWidth="1"/>
    <col min="4" max="4" width="20" style="1" customWidth="1"/>
  </cols>
  <sheetData>
    <row r="1" spans="1:4" ht="36" customHeight="1">
      <c r="A1" s="8" t="s">
        <v>0</v>
      </c>
      <c r="B1" s="9"/>
      <c r="C1" s="9"/>
      <c r="D1" s="9"/>
    </row>
    <row r="2" spans="1:4" ht="21.75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8" customHeight="1">
      <c r="A3" s="3" t="s">
        <v>5</v>
      </c>
      <c r="B3" s="3" t="s">
        <v>6</v>
      </c>
      <c r="C3" s="4">
        <v>0</v>
      </c>
      <c r="D3" s="4">
        <v>0</v>
      </c>
    </row>
    <row r="4" spans="1:4" ht="18" customHeight="1">
      <c r="A4" s="5" t="s">
        <v>5</v>
      </c>
      <c r="B4" s="5" t="s">
        <v>7</v>
      </c>
      <c r="C4" s="6">
        <v>0</v>
      </c>
      <c r="D4" s="6">
        <v>0</v>
      </c>
    </row>
    <row r="5" spans="1:4" ht="18" customHeight="1">
      <c r="A5" s="3" t="s">
        <v>5</v>
      </c>
      <c r="B5" s="3" t="s">
        <v>8</v>
      </c>
      <c r="C5" s="4">
        <v>0</v>
      </c>
      <c r="D5" s="4">
        <v>0</v>
      </c>
    </row>
    <row r="6" spans="1:4" ht="18" customHeight="1">
      <c r="A6" s="5" t="s">
        <v>5</v>
      </c>
      <c r="B6" s="5" t="s">
        <v>9</v>
      </c>
      <c r="C6" s="6">
        <v>0</v>
      </c>
      <c r="D6" s="6">
        <v>0</v>
      </c>
    </row>
    <row r="7" spans="1:4" ht="18" customHeight="1">
      <c r="A7" s="3" t="s">
        <v>5</v>
      </c>
      <c r="B7" s="3" t="s">
        <v>10</v>
      </c>
      <c r="C7" s="4">
        <v>0</v>
      </c>
      <c r="D7" s="4">
        <v>0</v>
      </c>
    </row>
    <row r="8" spans="1:4" ht="18" customHeight="1">
      <c r="A8" s="5" t="s">
        <v>5</v>
      </c>
      <c r="B8" s="5" t="s">
        <v>11</v>
      </c>
      <c r="C8" s="6">
        <v>24</v>
      </c>
      <c r="D8" s="6">
        <v>81600</v>
      </c>
    </row>
    <row r="9" spans="1:4" ht="18" customHeight="1">
      <c r="A9" s="3" t="s">
        <v>5</v>
      </c>
      <c r="B9" s="3" t="s">
        <v>12</v>
      </c>
      <c r="C9" s="4">
        <v>0</v>
      </c>
      <c r="D9" s="4">
        <v>0</v>
      </c>
    </row>
    <row r="10" spans="1:4" ht="18" customHeight="1">
      <c r="A10" s="5" t="s">
        <v>5</v>
      </c>
      <c r="B10" s="5" t="s">
        <v>13</v>
      </c>
      <c r="C10" s="6">
        <v>0</v>
      </c>
      <c r="D10" s="6">
        <v>0</v>
      </c>
    </row>
    <row r="11" spans="1:4" ht="18" customHeight="1">
      <c r="A11" s="3" t="s">
        <v>5</v>
      </c>
      <c r="B11" s="3" t="s">
        <v>14</v>
      </c>
      <c r="C11" s="4">
        <v>6956</v>
      </c>
      <c r="D11" s="4">
        <v>26174000</v>
      </c>
    </row>
    <row r="12" spans="1:4" ht="18" customHeight="1">
      <c r="A12" s="5" t="s">
        <v>5</v>
      </c>
      <c r="B12" s="5" t="s">
        <v>15</v>
      </c>
      <c r="C12" s="6">
        <v>365091</v>
      </c>
      <c r="D12" s="6">
        <v>129624318</v>
      </c>
    </row>
    <row r="13" spans="1:4" ht="18" customHeight="1">
      <c r="A13" s="3" t="s">
        <v>5</v>
      </c>
      <c r="B13" s="3" t="s">
        <v>16</v>
      </c>
      <c r="C13" s="4">
        <v>238726</v>
      </c>
      <c r="D13" s="4">
        <v>94722600</v>
      </c>
    </row>
    <row r="14" spans="1:4" ht="18" customHeight="1">
      <c r="A14" s="5" t="s">
        <v>5</v>
      </c>
      <c r="B14" s="5" t="s">
        <v>17</v>
      </c>
      <c r="C14" s="6">
        <v>447610</v>
      </c>
      <c r="D14" s="6">
        <v>186116800</v>
      </c>
    </row>
    <row r="15" spans="1:4" ht="18" customHeight="1">
      <c r="A15" s="3" t="s">
        <v>18</v>
      </c>
      <c r="B15" s="3" t="s">
        <v>6</v>
      </c>
      <c r="C15" s="4">
        <v>700</v>
      </c>
      <c r="D15" s="4">
        <v>15960000</v>
      </c>
    </row>
    <row r="16" spans="1:4" ht="18" customHeight="1">
      <c r="A16" s="5" t="s">
        <v>18</v>
      </c>
      <c r="B16" s="5" t="s">
        <v>7</v>
      </c>
      <c r="C16" s="6">
        <v>4</v>
      </c>
      <c r="D16" s="6">
        <v>9770</v>
      </c>
    </row>
    <row r="17" spans="1:4" ht="18" customHeight="1">
      <c r="A17" s="3" t="s">
        <v>18</v>
      </c>
      <c r="B17" s="3" t="s">
        <v>8</v>
      </c>
      <c r="C17" s="4">
        <v>866</v>
      </c>
      <c r="D17" s="4">
        <v>2146411</v>
      </c>
    </row>
    <row r="18" spans="1:4" ht="18" customHeight="1">
      <c r="A18" s="5" t="s">
        <v>18</v>
      </c>
      <c r="B18" s="5" t="s">
        <v>9</v>
      </c>
      <c r="C18" s="6">
        <v>161181</v>
      </c>
      <c r="D18" s="6">
        <v>221052510</v>
      </c>
    </row>
    <row r="19" spans="1:4" ht="18" customHeight="1">
      <c r="A19" s="3" t="s">
        <v>18</v>
      </c>
      <c r="B19" s="3" t="s">
        <v>10</v>
      </c>
      <c r="C19" s="4">
        <v>655542</v>
      </c>
      <c r="D19" s="4">
        <v>464946829</v>
      </c>
    </row>
    <row r="20" spans="1:4" ht="18" customHeight="1">
      <c r="A20" s="5" t="s">
        <v>18</v>
      </c>
      <c r="B20" s="5" t="s">
        <v>11</v>
      </c>
      <c r="C20" s="6">
        <v>181782</v>
      </c>
      <c r="D20" s="6">
        <v>273498838</v>
      </c>
    </row>
    <row r="21" spans="1:4" ht="18" customHeight="1">
      <c r="A21" s="3" t="s">
        <v>18</v>
      </c>
      <c r="B21" s="3" t="s">
        <v>12</v>
      </c>
      <c r="C21" s="4">
        <v>195086</v>
      </c>
      <c r="D21" s="4">
        <v>97480049</v>
      </c>
    </row>
    <row r="22" spans="1:4" ht="18" customHeight="1">
      <c r="A22" s="5" t="s">
        <v>18</v>
      </c>
      <c r="B22" s="5" t="s">
        <v>13</v>
      </c>
      <c r="C22" s="6">
        <v>52855</v>
      </c>
      <c r="D22" s="6">
        <v>28713200</v>
      </c>
    </row>
    <row r="23" spans="1:4" ht="18" customHeight="1">
      <c r="A23" s="3" t="s">
        <v>18</v>
      </c>
      <c r="B23" s="3" t="s">
        <v>14</v>
      </c>
      <c r="C23" s="4">
        <v>165154</v>
      </c>
      <c r="D23" s="4">
        <v>40751539</v>
      </c>
    </row>
    <row r="24" spans="1:4" ht="18" customHeight="1">
      <c r="A24" s="5" t="s">
        <v>18</v>
      </c>
      <c r="B24" s="5" t="s">
        <v>15</v>
      </c>
      <c r="C24" s="6">
        <v>7262</v>
      </c>
      <c r="D24" s="6">
        <v>4348493</v>
      </c>
    </row>
    <row r="25" spans="1:4" ht="18" customHeight="1">
      <c r="A25" s="3" t="s">
        <v>18</v>
      </c>
      <c r="B25" s="3" t="s">
        <v>16</v>
      </c>
      <c r="C25" s="4">
        <v>112984</v>
      </c>
      <c r="D25" s="4">
        <v>146844735</v>
      </c>
    </row>
    <row r="26" spans="1:4" ht="18" customHeight="1">
      <c r="A26" s="5" t="s">
        <v>18</v>
      </c>
      <c r="B26" s="5" t="s">
        <v>17</v>
      </c>
      <c r="C26" s="6">
        <v>514888</v>
      </c>
      <c r="D26" s="6">
        <v>141153863</v>
      </c>
    </row>
    <row r="27" spans="1:4" ht="18" customHeight="1">
      <c r="A27" s="3" t="s">
        <v>19</v>
      </c>
      <c r="B27" s="3" t="s">
        <v>6</v>
      </c>
      <c r="C27" s="4">
        <v>7365</v>
      </c>
      <c r="D27" s="4">
        <v>2319975</v>
      </c>
    </row>
    <row r="28" spans="1:4" ht="18" customHeight="1">
      <c r="A28" s="5" t="s">
        <v>19</v>
      </c>
      <c r="B28" s="5" t="s">
        <v>7</v>
      </c>
      <c r="C28" s="6">
        <v>3012</v>
      </c>
      <c r="D28" s="6">
        <v>1265173</v>
      </c>
    </row>
    <row r="29" spans="1:4" ht="18" customHeight="1">
      <c r="A29" s="3" t="s">
        <v>19</v>
      </c>
      <c r="B29" s="3" t="s">
        <v>8</v>
      </c>
      <c r="C29" s="4">
        <v>298974</v>
      </c>
      <c r="D29" s="4">
        <v>14381295</v>
      </c>
    </row>
    <row r="30" spans="1:4" ht="18" customHeight="1">
      <c r="A30" s="5" t="s">
        <v>19</v>
      </c>
      <c r="B30" s="5" t="s">
        <v>9</v>
      </c>
      <c r="C30" s="6">
        <v>34</v>
      </c>
      <c r="D30" s="6">
        <v>63070</v>
      </c>
    </row>
    <row r="31" spans="1:4" ht="19.5" customHeight="1">
      <c r="A31" s="10" t="s">
        <v>20</v>
      </c>
      <c r="B31" s="11"/>
      <c r="C31" s="7">
        <f>SUM(C3:C14)</f>
        <v>1058407</v>
      </c>
      <c r="D31" s="7">
        <f>SUM(D3:D14)</f>
        <v>436719318</v>
      </c>
    </row>
    <row r="32" spans="1:4" ht="19.5" customHeight="1">
      <c r="A32" s="10" t="s">
        <v>21</v>
      </c>
      <c r="B32" s="11"/>
      <c r="C32" s="7">
        <f>SUM(C15:C26)</f>
        <v>2048304</v>
      </c>
      <c r="D32" s="7">
        <f>SUM(D15:D26)</f>
        <v>1436906237</v>
      </c>
    </row>
    <row r="33" spans="1:4" ht="19.5" customHeight="1">
      <c r="A33" s="10" t="s">
        <v>22</v>
      </c>
      <c r="B33" s="11"/>
      <c r="C33" s="7">
        <f>SUM(C27:C30)</f>
        <v>309385</v>
      </c>
      <c r="D33" s="7">
        <f>SUM(D27:D30)</f>
        <v>18029513</v>
      </c>
    </row>
  </sheetData>
  <mergeCells count="4">
    <mergeCell ref="A1:D1"/>
    <mergeCell ref="A32:B32"/>
    <mergeCell ref="A31:B31"/>
    <mergeCell ref="A33:B33"/>
  </mergeCells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showGridLines="0" zoomScaleNormal="100" workbookViewId="0">
      <pane ySplit="2" topLeftCell="A12" activePane="bottomLeft" state="frozen"/>
      <selection pane="bottomLeft" sqref="A1:D1"/>
    </sheetView>
  </sheetViews>
  <sheetFormatPr defaultColWidth="8.6640625" defaultRowHeight="14.4"/>
  <cols>
    <col min="1" max="1" width="10" style="1" customWidth="1"/>
    <col min="2" max="2" width="8" style="1" customWidth="1"/>
    <col min="3" max="3" width="16" style="1" customWidth="1"/>
    <col min="4" max="4" width="22" style="1" customWidth="1"/>
  </cols>
  <sheetData>
    <row r="1" spans="1:4" ht="36" customHeight="1">
      <c r="A1" s="8" t="s">
        <v>23</v>
      </c>
      <c r="B1" s="9"/>
      <c r="C1" s="9"/>
      <c r="D1" s="9"/>
    </row>
    <row r="2" spans="1:4" ht="21.75" customHeight="1">
      <c r="A2" s="2" t="s">
        <v>1</v>
      </c>
      <c r="B2" s="2" t="s">
        <v>2</v>
      </c>
      <c r="C2" s="2" t="s">
        <v>24</v>
      </c>
      <c r="D2" s="2" t="s">
        <v>25</v>
      </c>
    </row>
    <row r="3" spans="1:4" ht="18" customHeight="1">
      <c r="A3" s="3" t="s">
        <v>5</v>
      </c>
      <c r="B3" s="3" t="s">
        <v>6</v>
      </c>
      <c r="C3" s="4">
        <v>0</v>
      </c>
      <c r="D3" s="4">
        <v>0</v>
      </c>
    </row>
    <row r="4" spans="1:4" ht="18" customHeight="1">
      <c r="A4" s="5" t="s">
        <v>5</v>
      </c>
      <c r="B4" s="5" t="s">
        <v>7</v>
      </c>
      <c r="C4" s="6">
        <v>0</v>
      </c>
      <c r="D4" s="6">
        <v>0</v>
      </c>
    </row>
    <row r="5" spans="1:4" ht="18" customHeight="1">
      <c r="A5" s="3" t="s">
        <v>5</v>
      </c>
      <c r="B5" s="3" t="s">
        <v>8</v>
      </c>
      <c r="C5" s="4">
        <v>0</v>
      </c>
      <c r="D5" s="4">
        <v>0</v>
      </c>
    </row>
    <row r="6" spans="1:4" ht="18" customHeight="1">
      <c r="A6" s="5" t="s">
        <v>5</v>
      </c>
      <c r="B6" s="5" t="s">
        <v>9</v>
      </c>
      <c r="C6" s="6">
        <v>0</v>
      </c>
      <c r="D6" s="6">
        <v>0</v>
      </c>
    </row>
    <row r="7" spans="1:4" ht="18" customHeight="1">
      <c r="A7" s="3" t="s">
        <v>5</v>
      </c>
      <c r="B7" s="3" t="s">
        <v>10</v>
      </c>
      <c r="C7" s="4">
        <v>0</v>
      </c>
      <c r="D7" s="4">
        <v>0</v>
      </c>
    </row>
    <row r="8" spans="1:4" ht="18" customHeight="1">
      <c r="A8" s="5" t="s">
        <v>5</v>
      </c>
      <c r="B8" s="5" t="s">
        <v>11</v>
      </c>
      <c r="C8" s="6">
        <v>0</v>
      </c>
      <c r="D8" s="6">
        <v>0</v>
      </c>
    </row>
    <row r="9" spans="1:4" ht="18" customHeight="1">
      <c r="A9" s="3" t="s">
        <v>5</v>
      </c>
      <c r="B9" s="3" t="s">
        <v>12</v>
      </c>
      <c r="C9" s="4">
        <v>0</v>
      </c>
      <c r="D9" s="4">
        <v>0</v>
      </c>
    </row>
    <row r="10" spans="1:4" ht="18" customHeight="1">
      <c r="A10" s="5" t="s">
        <v>5</v>
      </c>
      <c r="B10" s="5" t="s">
        <v>13</v>
      </c>
      <c r="C10" s="6">
        <v>0</v>
      </c>
      <c r="D10" s="6">
        <v>0</v>
      </c>
    </row>
    <row r="11" spans="1:4" ht="18" customHeight="1">
      <c r="A11" s="3" t="s">
        <v>5</v>
      </c>
      <c r="B11" s="3" t="s">
        <v>14</v>
      </c>
      <c r="C11" s="4">
        <v>87031</v>
      </c>
      <c r="D11" s="4">
        <v>900454349</v>
      </c>
    </row>
    <row r="12" spans="1:4" ht="18" customHeight="1">
      <c r="A12" s="5" t="s">
        <v>5</v>
      </c>
      <c r="B12" s="5" t="s">
        <v>15</v>
      </c>
      <c r="C12" s="6">
        <v>38852</v>
      </c>
      <c r="D12" s="6">
        <v>370433241</v>
      </c>
    </row>
    <row r="13" spans="1:4" ht="18" customHeight="1">
      <c r="A13" s="3" t="s">
        <v>5</v>
      </c>
      <c r="B13" s="3" t="s">
        <v>16</v>
      </c>
      <c r="C13" s="4">
        <v>147910</v>
      </c>
      <c r="D13" s="4">
        <v>1471481340</v>
      </c>
    </row>
    <row r="14" spans="1:4" ht="18" customHeight="1">
      <c r="A14" s="5" t="s">
        <v>5</v>
      </c>
      <c r="B14" s="5" t="s">
        <v>17</v>
      </c>
      <c r="C14" s="6">
        <v>27265</v>
      </c>
      <c r="D14" s="6">
        <v>338060297</v>
      </c>
    </row>
    <row r="15" spans="1:4" ht="18" customHeight="1">
      <c r="A15" s="3" t="s">
        <v>18</v>
      </c>
      <c r="B15" s="3" t="s">
        <v>6</v>
      </c>
      <c r="C15" s="4">
        <v>28611</v>
      </c>
      <c r="D15" s="4">
        <v>257294176</v>
      </c>
    </row>
    <row r="16" spans="1:4" ht="18" customHeight="1">
      <c r="A16" s="5" t="s">
        <v>18</v>
      </c>
      <c r="B16" s="5" t="s">
        <v>7</v>
      </c>
      <c r="C16" s="6">
        <v>10815</v>
      </c>
      <c r="D16" s="6">
        <v>78740733</v>
      </c>
    </row>
    <row r="17" spans="1:4" ht="18" customHeight="1">
      <c r="A17" s="3" t="s">
        <v>18</v>
      </c>
      <c r="B17" s="3" t="s">
        <v>8</v>
      </c>
      <c r="C17" s="4">
        <v>1502</v>
      </c>
      <c r="D17" s="4">
        <v>9966460</v>
      </c>
    </row>
    <row r="18" spans="1:4" ht="18" customHeight="1">
      <c r="A18" s="5" t="s">
        <v>18</v>
      </c>
      <c r="B18" s="5" t="s">
        <v>9</v>
      </c>
      <c r="C18" s="6">
        <v>49</v>
      </c>
      <c r="D18" s="6">
        <v>476333</v>
      </c>
    </row>
    <row r="19" spans="1:4" ht="18" customHeight="1">
      <c r="A19" s="3" t="s">
        <v>18</v>
      </c>
      <c r="B19" s="3" t="s">
        <v>10</v>
      </c>
      <c r="C19" s="4">
        <v>172</v>
      </c>
      <c r="D19" s="4">
        <v>2169290</v>
      </c>
    </row>
    <row r="20" spans="1:4" ht="18" customHeight="1">
      <c r="A20" s="5" t="s">
        <v>18</v>
      </c>
      <c r="B20" s="5" t="s">
        <v>11</v>
      </c>
      <c r="C20" s="6">
        <v>19197</v>
      </c>
      <c r="D20" s="6">
        <v>159200204</v>
      </c>
    </row>
    <row r="21" spans="1:4" ht="18" customHeight="1">
      <c r="A21" s="3" t="s">
        <v>18</v>
      </c>
      <c r="B21" s="3" t="s">
        <v>12</v>
      </c>
      <c r="C21" s="4">
        <v>11490</v>
      </c>
      <c r="D21" s="4">
        <v>127825682</v>
      </c>
    </row>
    <row r="22" spans="1:4" ht="18" customHeight="1">
      <c r="A22" s="5" t="s">
        <v>18</v>
      </c>
      <c r="B22" s="5" t="s">
        <v>13</v>
      </c>
      <c r="C22" s="6">
        <v>7728</v>
      </c>
      <c r="D22" s="6">
        <v>63128074</v>
      </c>
    </row>
    <row r="23" spans="1:4" ht="18" customHeight="1">
      <c r="A23" s="3" t="s">
        <v>18</v>
      </c>
      <c r="B23" s="3" t="s">
        <v>14</v>
      </c>
      <c r="C23" s="4">
        <v>174809</v>
      </c>
      <c r="D23" s="4">
        <v>502873566</v>
      </c>
    </row>
    <row r="24" spans="1:4" ht="18" customHeight="1">
      <c r="A24" s="5" t="s">
        <v>18</v>
      </c>
      <c r="B24" s="5" t="s">
        <v>15</v>
      </c>
      <c r="C24" s="6">
        <v>383598</v>
      </c>
      <c r="D24" s="6">
        <v>1278372332</v>
      </c>
    </row>
    <row r="25" spans="1:4" ht="18" customHeight="1">
      <c r="A25" s="3" t="s">
        <v>18</v>
      </c>
      <c r="B25" s="3" t="s">
        <v>16</v>
      </c>
      <c r="C25" s="4">
        <v>429519</v>
      </c>
      <c r="D25" s="4">
        <v>1550394802</v>
      </c>
    </row>
    <row r="26" spans="1:4" ht="18" customHeight="1">
      <c r="A26" s="5" t="s">
        <v>18</v>
      </c>
      <c r="B26" s="5" t="s">
        <v>17</v>
      </c>
      <c r="C26" s="6">
        <v>555866</v>
      </c>
      <c r="D26" s="6">
        <v>1567736100</v>
      </c>
    </row>
    <row r="27" spans="1:4" ht="18" customHeight="1">
      <c r="A27" s="3" t="s">
        <v>19</v>
      </c>
      <c r="B27" s="3" t="s">
        <v>6</v>
      </c>
      <c r="C27" s="4">
        <v>145370</v>
      </c>
      <c r="D27" s="4">
        <v>415055006</v>
      </c>
    </row>
    <row r="28" spans="1:4" ht="18" customHeight="1">
      <c r="A28" s="5" t="s">
        <v>19</v>
      </c>
      <c r="B28" s="5" t="s">
        <v>7</v>
      </c>
      <c r="C28" s="6">
        <v>10251</v>
      </c>
      <c r="D28" s="6">
        <v>30108590</v>
      </c>
    </row>
    <row r="29" spans="1:4" ht="18" customHeight="1">
      <c r="A29" s="3" t="s">
        <v>19</v>
      </c>
      <c r="B29" s="3" t="s">
        <v>8</v>
      </c>
      <c r="C29" s="4">
        <v>3274</v>
      </c>
      <c r="D29" s="4">
        <v>10166490</v>
      </c>
    </row>
    <row r="30" spans="1:4" ht="18" customHeight="1">
      <c r="A30" s="5" t="s">
        <v>19</v>
      </c>
      <c r="B30" s="5" t="s">
        <v>9</v>
      </c>
      <c r="C30" s="6">
        <v>110</v>
      </c>
      <c r="D30" s="6">
        <v>691988</v>
      </c>
    </row>
    <row r="31" spans="1:4" ht="19.5" customHeight="1">
      <c r="A31" s="10" t="s">
        <v>20</v>
      </c>
      <c r="B31" s="11"/>
      <c r="C31" s="7">
        <f>SUM(C3:C14)</f>
        <v>301058</v>
      </c>
      <c r="D31" s="7">
        <f>SUM(D3:D14)</f>
        <v>3080429227</v>
      </c>
    </row>
    <row r="32" spans="1:4" ht="19.5" customHeight="1">
      <c r="A32" s="10" t="s">
        <v>21</v>
      </c>
      <c r="B32" s="11"/>
      <c r="C32" s="7">
        <f>SUM(C15:C26)</f>
        <v>1623356</v>
      </c>
      <c r="D32" s="7">
        <f>SUM(D15:D26)</f>
        <v>5598177752</v>
      </c>
    </row>
    <row r="33" spans="1:4" ht="19.5" customHeight="1">
      <c r="A33" s="10" t="s">
        <v>22</v>
      </c>
      <c r="B33" s="11"/>
      <c r="C33" s="7">
        <f>SUM(C27:C30)</f>
        <v>159005</v>
      </c>
      <c r="D33" s="7">
        <f>SUM(D27:D30)</f>
        <v>456022074</v>
      </c>
    </row>
  </sheetData>
  <mergeCells count="4">
    <mergeCell ref="A1:D1"/>
    <mergeCell ref="A32:B32"/>
    <mergeCell ref="A31:B31"/>
    <mergeCell ref="A33:B33"/>
  </mergeCells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EB5A5-2A0C-45CD-9874-EDA34F4BDC07}">
  <sheetPr>
    <pageSetUpPr fitToPage="1"/>
  </sheetPr>
  <dimension ref="A1:J22"/>
  <sheetViews>
    <sheetView tabSelected="1" workbookViewId="0">
      <selection activeCell="G5" sqref="G5"/>
    </sheetView>
  </sheetViews>
  <sheetFormatPr defaultColWidth="10" defaultRowHeight="24.9" customHeight="1"/>
  <cols>
    <col min="1" max="1" width="17.88671875" style="15" customWidth="1"/>
    <col min="2" max="6" width="20.109375" style="15" customWidth="1"/>
    <col min="7" max="7" width="20.6640625" style="14" customWidth="1"/>
    <col min="8" max="8" width="11.33203125" style="14" customWidth="1"/>
    <col min="9" max="10" width="10" style="14"/>
    <col min="11" max="11" width="4" style="15" customWidth="1"/>
    <col min="12" max="16384" width="10" style="15"/>
  </cols>
  <sheetData>
    <row r="1" spans="1:10" ht="30" customHeight="1">
      <c r="A1" s="12" t="s">
        <v>26</v>
      </c>
      <c r="B1" s="12"/>
      <c r="C1" s="12"/>
      <c r="D1" s="12"/>
      <c r="E1" s="12"/>
      <c r="F1" s="13"/>
    </row>
    <row r="2" spans="1:10" ht="21.75" customHeight="1">
      <c r="F2" s="16"/>
    </row>
    <row r="3" spans="1:10" ht="24.9" customHeight="1">
      <c r="A3" s="17" t="s">
        <v>27</v>
      </c>
      <c r="B3" s="18" t="s">
        <v>28</v>
      </c>
      <c r="C3" s="18" t="s">
        <v>29</v>
      </c>
      <c r="D3" s="18" t="s">
        <v>30</v>
      </c>
      <c r="E3" s="18" t="s">
        <v>31</v>
      </c>
      <c r="F3" s="19" t="s">
        <v>32</v>
      </c>
    </row>
    <row r="4" spans="1:10" ht="24.9" customHeight="1">
      <c r="A4" s="20" t="s">
        <v>33</v>
      </c>
      <c r="B4" s="21"/>
      <c r="C4" s="21">
        <v>5974711</v>
      </c>
      <c r="D4" s="21">
        <v>15623300</v>
      </c>
      <c r="E4" s="21">
        <f>774194*1.1</f>
        <v>851613.4</v>
      </c>
      <c r="F4" s="22">
        <f>SUM(B4:E4)</f>
        <v>22449624.399999999</v>
      </c>
      <c r="G4" s="23"/>
      <c r="H4" s="23"/>
      <c r="I4" s="23"/>
      <c r="J4" s="23"/>
    </row>
    <row r="5" spans="1:10" ht="24.9" customHeight="1">
      <c r="A5" s="20" t="s">
        <v>34</v>
      </c>
      <c r="B5" s="21">
        <v>1644412</v>
      </c>
      <c r="C5" s="21">
        <v>22000000</v>
      </c>
      <c r="D5" s="21">
        <v>7177170</v>
      </c>
      <c r="E5" s="21">
        <v>1650000</v>
      </c>
      <c r="F5" s="22">
        <f t="shared" ref="F5:F10" si="0">SUM(B5:E5)</f>
        <v>32471582</v>
      </c>
      <c r="G5" s="23"/>
      <c r="H5" s="23"/>
      <c r="I5" s="23"/>
      <c r="J5" s="23"/>
    </row>
    <row r="6" spans="1:10" ht="24.9" customHeight="1">
      <c r="A6" s="20" t="s">
        <v>35</v>
      </c>
      <c r="B6" s="21">
        <v>16060110</v>
      </c>
      <c r="C6" s="21">
        <f>54500000*1.1</f>
        <v>59950000.000000007</v>
      </c>
      <c r="D6" s="21">
        <v>23714075</v>
      </c>
      <c r="E6" s="21">
        <v>1650000</v>
      </c>
      <c r="F6" s="22">
        <f t="shared" si="0"/>
        <v>101374185</v>
      </c>
      <c r="G6" s="23"/>
      <c r="H6" s="23"/>
      <c r="I6" s="23"/>
      <c r="J6" s="23"/>
    </row>
    <row r="7" spans="1:10" ht="24.9" customHeight="1">
      <c r="A7" s="20" t="s">
        <v>36</v>
      </c>
      <c r="B7" s="21">
        <v>37876663</v>
      </c>
      <c r="C7" s="21">
        <f>95000000*1.1</f>
        <v>104500000.00000001</v>
      </c>
      <c r="D7" s="21">
        <v>5261850</v>
      </c>
      <c r="E7" s="21">
        <v>1650000</v>
      </c>
      <c r="F7" s="22">
        <f t="shared" si="0"/>
        <v>149288513</v>
      </c>
      <c r="G7" s="23"/>
      <c r="H7" s="23"/>
      <c r="I7" s="23"/>
      <c r="J7" s="23"/>
    </row>
    <row r="8" spans="1:10" ht="24.9" customHeight="1">
      <c r="A8" s="20" t="s">
        <v>37</v>
      </c>
      <c r="B8" s="21">
        <v>97889583</v>
      </c>
      <c r="C8" s="21">
        <v>5500000</v>
      </c>
      <c r="D8" s="21">
        <v>3797090</v>
      </c>
      <c r="E8" s="21">
        <v>1650000</v>
      </c>
      <c r="F8" s="22">
        <f t="shared" si="0"/>
        <v>108836673</v>
      </c>
      <c r="G8" s="24" t="s">
        <v>38</v>
      </c>
      <c r="H8" s="24" t="s">
        <v>39</v>
      </c>
      <c r="I8" s="23"/>
      <c r="J8" s="23"/>
    </row>
    <row r="9" spans="1:10" ht="24.9" customHeight="1">
      <c r="A9" s="20" t="s">
        <v>40</v>
      </c>
      <c r="B9" s="21">
        <v>64497411</v>
      </c>
      <c r="C9" s="25"/>
      <c r="D9" s="21">
        <v>1509530</v>
      </c>
      <c r="E9" s="21">
        <v>1650000</v>
      </c>
      <c r="F9" s="22">
        <f t="shared" si="0"/>
        <v>67656941</v>
      </c>
      <c r="G9" s="26">
        <v>3394157021</v>
      </c>
      <c r="H9" s="27">
        <f>F11/G9</f>
        <v>0.14830687746193105</v>
      </c>
      <c r="I9" s="23"/>
      <c r="J9" s="23"/>
    </row>
    <row r="10" spans="1:10" ht="24.9" customHeight="1">
      <c r="A10" s="20" t="s">
        <v>41</v>
      </c>
      <c r="B10" s="21">
        <v>19540411</v>
      </c>
      <c r="C10" s="21"/>
      <c r="D10" s="21">
        <v>108900</v>
      </c>
      <c r="E10" s="21">
        <v>1650000</v>
      </c>
      <c r="F10" s="22">
        <f t="shared" si="0"/>
        <v>21299311</v>
      </c>
      <c r="G10" s="28">
        <v>-160838686</v>
      </c>
      <c r="H10" s="28" t="s">
        <v>42</v>
      </c>
      <c r="I10" s="23"/>
      <c r="J10" s="23"/>
    </row>
    <row r="11" spans="1:10" ht="24.9" customHeight="1">
      <c r="A11" s="29" t="s">
        <v>43</v>
      </c>
      <c r="B11" s="30">
        <f>SUM(B4:B10)</f>
        <v>237508590</v>
      </c>
      <c r="C11" s="30">
        <f>SUM(C4:C10)</f>
        <v>197924711</v>
      </c>
      <c r="D11" s="30">
        <f t="shared" ref="D11:F11" si="1">SUM(D4:D10)</f>
        <v>57191915</v>
      </c>
      <c r="E11" s="30">
        <f>SUM(E4:E10)</f>
        <v>10751613.4</v>
      </c>
      <c r="F11" s="31">
        <f t="shared" si="1"/>
        <v>503376829.39999998</v>
      </c>
      <c r="G11" s="32">
        <f>SUM(G9:G10)</f>
        <v>3233318335</v>
      </c>
      <c r="H11" s="33">
        <f>F11/G11</f>
        <v>0.15568427765093534</v>
      </c>
      <c r="I11" s="23"/>
      <c r="J11" s="23"/>
    </row>
    <row r="12" spans="1:10" ht="24.9" customHeight="1">
      <c r="A12" s="20" t="s">
        <v>44</v>
      </c>
      <c r="B12" s="34">
        <v>2900040</v>
      </c>
      <c r="C12" s="34">
        <v>11353990</v>
      </c>
      <c r="D12" s="34">
        <v>3400870</v>
      </c>
      <c r="E12" s="34"/>
      <c r="F12" s="35">
        <f>SUM(B12:E12)</f>
        <v>17654900</v>
      </c>
      <c r="G12" s="36"/>
      <c r="H12" s="23"/>
      <c r="I12" s="23"/>
      <c r="J12" s="23"/>
    </row>
    <row r="13" spans="1:10" ht="24.9" customHeight="1">
      <c r="A13" s="20" t="s">
        <v>45</v>
      </c>
      <c r="B13" s="34">
        <v>15155503</v>
      </c>
      <c r="C13" s="34">
        <v>50050000</v>
      </c>
      <c r="D13" s="34">
        <v>19294655</v>
      </c>
      <c r="E13" s="34">
        <v>1170967</v>
      </c>
      <c r="F13" s="35">
        <f t="shared" ref="F13:F18" si="2">SUM(B13:E13)</f>
        <v>85671125</v>
      </c>
      <c r="G13" s="23"/>
      <c r="H13" s="23"/>
      <c r="I13" s="23"/>
    </row>
    <row r="14" spans="1:10" ht="24.9" customHeight="1">
      <c r="A14" s="20" t="s">
        <v>46</v>
      </c>
      <c r="B14" s="34">
        <v>36344380</v>
      </c>
      <c r="C14" s="34">
        <v>93473400</v>
      </c>
      <c r="D14" s="34">
        <v>33966493</v>
      </c>
      <c r="E14" s="34">
        <v>1650000</v>
      </c>
      <c r="F14" s="35">
        <f t="shared" si="2"/>
        <v>165434273</v>
      </c>
      <c r="G14" s="23"/>
      <c r="H14" s="23"/>
      <c r="I14" s="23"/>
      <c r="J14" s="23"/>
    </row>
    <row r="15" spans="1:10" ht="24.9" customHeight="1">
      <c r="A15" s="20" t="s">
        <v>47</v>
      </c>
      <c r="B15" s="34">
        <v>113101445</v>
      </c>
      <c r="C15" s="34">
        <f>110000000+4226190+18668750</f>
        <v>132894940</v>
      </c>
      <c r="D15" s="34">
        <v>33981206</v>
      </c>
      <c r="E15" s="34">
        <v>1650000</v>
      </c>
      <c r="F15" s="35">
        <f t="shared" si="2"/>
        <v>281627591</v>
      </c>
      <c r="G15" s="23"/>
      <c r="H15" s="23"/>
      <c r="I15" s="23"/>
      <c r="J15" s="23"/>
    </row>
    <row r="16" spans="1:10" ht="24.9" customHeight="1">
      <c r="A16" s="37" t="s">
        <v>48</v>
      </c>
      <c r="B16" s="34">
        <v>178773620</v>
      </c>
      <c r="C16" s="38">
        <v>33000000</v>
      </c>
      <c r="D16" s="38">
        <v>11996688</v>
      </c>
      <c r="E16" s="38">
        <v>1650000</v>
      </c>
      <c r="F16" s="39">
        <f>SUM(B16:E16)</f>
        <v>225420308</v>
      </c>
      <c r="G16" s="24" t="s">
        <v>38</v>
      </c>
      <c r="H16" s="24" t="s">
        <v>39</v>
      </c>
      <c r="I16" s="23"/>
      <c r="J16" s="23"/>
    </row>
    <row r="17" spans="1:10" ht="24.9" customHeight="1">
      <c r="A17" s="40" t="s">
        <v>49</v>
      </c>
      <c r="B17" s="41">
        <v>14574428</v>
      </c>
      <c r="C17" s="42">
        <v>7663172</v>
      </c>
      <c r="D17" s="42">
        <v>745437</v>
      </c>
      <c r="E17" s="42">
        <v>1650000</v>
      </c>
      <c r="F17" s="22">
        <f t="shared" si="2"/>
        <v>24633037</v>
      </c>
      <c r="G17" s="24">
        <v>5219780056</v>
      </c>
      <c r="H17" s="43">
        <f>F19/G17</f>
        <v>0.15366379912464265</v>
      </c>
      <c r="I17" s="23"/>
      <c r="J17" s="23"/>
    </row>
    <row r="18" spans="1:10" ht="24.9" customHeight="1">
      <c r="A18" s="40" t="s">
        <v>50</v>
      </c>
      <c r="B18" s="41"/>
      <c r="C18" s="42"/>
      <c r="D18" s="42"/>
      <c r="E18" s="42">
        <v>1650000</v>
      </c>
      <c r="F18" s="22">
        <f t="shared" si="2"/>
        <v>1650000</v>
      </c>
      <c r="G18" s="44">
        <v>-300000000</v>
      </c>
      <c r="H18" s="43" t="s">
        <v>51</v>
      </c>
      <c r="I18" s="23"/>
      <c r="J18" s="23"/>
    </row>
    <row r="19" spans="1:10" ht="24.9" customHeight="1">
      <c r="A19" s="45" t="s">
        <v>52</v>
      </c>
      <c r="B19" s="46">
        <f>SUM(B12:B18)</f>
        <v>360849416</v>
      </c>
      <c r="C19" s="46">
        <f>SUM(C12:C18)</f>
        <v>328435502</v>
      </c>
      <c r="D19" s="46">
        <f>SUM(D12:D18)</f>
        <v>103385349</v>
      </c>
      <c r="E19" s="46">
        <f>SUM(E12:E18)</f>
        <v>9420967</v>
      </c>
      <c r="F19" s="47">
        <f>SUM(F12:F18)</f>
        <v>802091234</v>
      </c>
      <c r="G19" s="48">
        <f>SUM(G17:G18)</f>
        <v>4919780056</v>
      </c>
      <c r="H19" s="49">
        <f>F19/G19</f>
        <v>0.16303396185807051</v>
      </c>
      <c r="I19" s="23"/>
      <c r="J19" s="23"/>
    </row>
    <row r="20" spans="1:10" ht="24.9" customHeight="1">
      <c r="F20" s="16" t="s">
        <v>53</v>
      </c>
      <c r="G20" s="44"/>
    </row>
    <row r="21" spans="1:10" ht="24.9" customHeight="1">
      <c r="F21" s="50"/>
      <c r="G21" s="51"/>
    </row>
    <row r="22" spans="1:10" ht="24.9" customHeight="1">
      <c r="F22" s="50"/>
      <c r="G22" s="52"/>
    </row>
  </sheetData>
  <phoneticPr fontId="8" type="noConversion"/>
  <pageMargins left="0.82677165354330717" right="0.43307086614173229" top="0.74803149606299213" bottom="0.74803149606299213" header="0.31496062992125984" footer="0.31496062992125984"/>
  <pageSetup paperSize="9" scale="90" orientation="landscape" r:id="rId1"/>
  <headerFooter>
    <oddFooter>&amp;C&amp;"Arial Unicode MS,보통"&amp;9주식회사 지엘  &amp;D  &amp;T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판매량</vt:lpstr>
      <vt:lpstr>납품량</vt:lpstr>
      <vt:lpstr>광고비등비용</vt:lpstr>
      <vt:lpstr>광고비등비용!Print_Area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2026-04-15T16:44:27Z</dcterms:created>
  <dcterms:modified xsi:type="dcterms:W3CDTF">2026-04-16T09:25:22Z</dcterms:modified>
  <dc:language>en-US</dc:language>
</cp:coreProperties>
</file>