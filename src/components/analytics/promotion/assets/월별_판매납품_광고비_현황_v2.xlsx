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4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① 월별합계_Layer1" sheetId="1" r:id="rId1"/>
    <sheet name="② 24-25시즌_제품별" sheetId="2" r:id="rId2"/>
    <sheet name="③ 25-26시즌_제품별" sheetId="3" r:id="rId3"/>
    <sheet name="광고비등비용" sheetId="4" r:id="rId4"/>
  </sheets>
  <definedNames>
    <definedName name="_xlnm.Print_Area" localSheetId="4">광고비등비용!$A$1:$H$20</definedName>
  </definedNames>
</workbook>
</file>

<file path=xl/comments4.xml><?xml version="1.0" encoding="utf-8"?>
<comments xmlns="http://schemas.openxmlformats.org/spreadsheetml/2006/main">
  <authors>
    <author>USER</author>
  </authors>
  <commentList>
    <comment ref="C16" authorId="0">
      <text>
        <t xml:space="preserve">박상병 떨어진 쿠팡마진 광고로 대체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1" formatCode="_-* #,##0_-;\-* #,##0_-;_-* &quot;-&quot;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rightToLeft="0"/>
  </sheetViews>
  <sheetData>
    <row r="1">
      <c r="A1" t="str">
        <v>[Layer 1] 수량은 매(개별) 단위로 통일 | 24-25시즌: 팩수량×팩당매수로 환산</v>
      </c>
    </row>
    <row r="2">
      <c r="A2" t="str">
        <v>연월</v>
      </c>
      <c r="B2" t="str">
        <v>시즌</v>
      </c>
      <c r="C2" t="str">
        <v>판매량(매)</v>
      </c>
      <c r="D2" t="str">
        <v>판매액(원)</v>
      </c>
      <c r="E2" t="str">
        <v>납품량(매)</v>
      </c>
      <c r="F2" t="str">
        <v>납품액(원)</v>
      </c>
    </row>
    <row r="3">
      <c r="A3" t="str">
        <v>2024-10</v>
      </c>
      <c r="B3" t="str">
        <v>24-25</v>
      </c>
      <c r="C3">
        <v>439817</v>
      </c>
      <c r="D3">
        <v>133133738</v>
      </c>
      <c r="E3">
        <v>11496</v>
      </c>
      <c r="F3">
        <v>8458489</v>
      </c>
    </row>
    <row r="4">
      <c r="A4" t="str">
        <v>2024-11</v>
      </c>
      <c r="B4" t="str">
        <v>24-25</v>
      </c>
      <c r="C4">
        <v>2465883</v>
      </c>
      <c r="D4">
        <v>751200836</v>
      </c>
      <c r="E4">
        <v>4942923</v>
      </c>
      <c r="F4">
        <v>1569880555</v>
      </c>
    </row>
    <row r="5">
      <c r="A5" t="str">
        <v>2024-12</v>
      </c>
      <c r="B5" t="str">
        <v>24-25</v>
      </c>
      <c r="C5">
        <v>3223484</v>
      </c>
      <c r="D5">
        <v>1017014395</v>
      </c>
      <c r="E5">
        <v>1266880</v>
      </c>
      <c r="F5">
        <v>343203368</v>
      </c>
    </row>
    <row r="6">
      <c r="A6" t="str">
        <v>2025-01</v>
      </c>
      <c r="B6" t="str">
        <v>24-25</v>
      </c>
      <c r="C6">
        <v>2307674</v>
      </c>
      <c r="D6">
        <v>748033270</v>
      </c>
      <c r="E6">
        <v>847170</v>
      </c>
      <c r="F6">
        <v>266056601</v>
      </c>
    </row>
    <row r="7">
      <c r="A7" t="str">
        <v>2025-02</v>
      </c>
      <c r="B7" t="str">
        <v>24-25</v>
      </c>
      <c r="C7">
        <v>1306690</v>
      </c>
      <c r="D7">
        <v>410422092</v>
      </c>
      <c r="E7">
        <v>259340</v>
      </c>
      <c r="F7">
        <v>83085191</v>
      </c>
    </row>
    <row r="8">
      <c r="A8" t="str">
        <v>2025-03</v>
      </c>
      <c r="B8" t="str">
        <v>24-25</v>
      </c>
      <c r="C8">
        <v>235421</v>
      </c>
      <c r="D8">
        <v>78403643</v>
      </c>
      <c r="E8">
        <v>30160</v>
      </c>
      <c r="F8">
        <v>11052602</v>
      </c>
    </row>
    <row r="9">
      <c r="A9" t="str">
        <v>2025-10</v>
      </c>
      <c r="B9" t="str">
        <v>25-26</v>
      </c>
      <c r="C9">
        <v>60041</v>
      </c>
      <c r="D9">
        <v>17007804</v>
      </c>
      <c r="E9">
        <v>244495</v>
      </c>
      <c r="F9">
        <v>68534331</v>
      </c>
    </row>
    <row r="10">
      <c r="A10" t="str">
        <v>2025-11</v>
      </c>
      <c r="B10" t="str">
        <v>25-26</v>
      </c>
      <c r="C10">
        <v>291946</v>
      </c>
      <c r="D10">
        <v>83037054</v>
      </c>
      <c r="E10">
        <v>425677</v>
      </c>
      <c r="F10">
        <v>125794501</v>
      </c>
    </row>
    <row r="11">
      <c r="A11" t="str">
        <v>2025-12</v>
      </c>
      <c r="B11" t="str">
        <v>25-26</v>
      </c>
      <c r="C11">
        <v>575650</v>
      </c>
      <c r="D11">
        <v>165241260</v>
      </c>
      <c r="E11">
        <v>554447</v>
      </c>
      <c r="F11">
        <v>156827449</v>
      </c>
    </row>
    <row r="12">
      <c r="A12" t="str">
        <v>2026-01</v>
      </c>
      <c r="B12" t="str">
        <v>25-26</v>
      </c>
      <c r="C12">
        <v>473920</v>
      </c>
      <c r="D12">
        <v>140569759</v>
      </c>
      <c r="E12">
        <v>142030</v>
      </c>
      <c r="F12">
        <v>40099606</v>
      </c>
    </row>
    <row r="13">
      <c r="A13" t="str">
        <v>2026-02</v>
      </c>
      <c r="B13" t="str">
        <v>25-26</v>
      </c>
      <c r="C13">
        <v>100634</v>
      </c>
      <c r="D13">
        <v>30322591</v>
      </c>
      <c r="E13">
        <v>10156</v>
      </c>
      <c r="F13">
        <v>2833866</v>
      </c>
    </row>
    <row r="14">
      <c r="A14" t="str">
        <v>2026-03</v>
      </c>
      <c r="B14" t="str">
        <v>25-26</v>
      </c>
      <c r="C14">
        <v>32614</v>
      </c>
      <c r="D14">
        <v>8851887</v>
      </c>
      <c r="E14">
        <v>3106</v>
      </c>
      <c r="F14">
        <v>880551</v>
      </c>
    </row>
    <row r="15">
      <c r="A15" t="str">
        <v>시즌 합계</v>
      </c>
      <c r="B15" t="str">
        <v>전체</v>
      </c>
      <c r="C15">
        <f>SUM(C3:C14)</f>
        <v>11513774</v>
      </c>
      <c r="D15">
        <f>SUM(D3:D14)</f>
        <v>3583238329</v>
      </c>
      <c r="E15">
        <f>SUM(E3:E14)</f>
        <v>8737880</v>
      </c>
      <c r="F15">
        <f>SUM(F3:F14)</f>
        <v>2676707110</v>
      </c>
    </row>
  </sheetData>
  <mergeCells count="1">
    <mergeCell ref="A1:F1"/>
  </mergeCells>
  <pageMargins left="0.75" right="0.75" top="1" bottom="1" header="0.5" footer="0.5"/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C11"/>
  <sheetViews>
    <sheetView workbookViewId="0" rightToLeft="0"/>
  </sheetViews>
  <sheetData>
    <row r="1">
      <c r="A1" t="str">
        <v>[Layer 1] 24-25시즌 월별 판매·납품 — 수량 단위: 매(개별)로 통일  ※팩수량 × 팩당 매수로 환산됨</v>
      </c>
    </row>
    <row r="2">
      <c r="A2" t="str">
        <v>쿠팡 24-25시즌 월별 판매·납품 현황</v>
      </c>
    </row>
    <row r="3" xml:space="preserve">
      <c r="A3" t="str">
        <v>연월</v>
      </c>
      <c r="B3" t="str">
        <v>귀마개리필</v>
      </c>
      <c r="F3" t="str">
        <v>귀마개본품</v>
      </c>
      <c r="J3" t="str" xml:space="preserve">
        <v xml:space="preserve">깔창형 발난로 남성용 10팩_x000d_
(1팩=10매)</v>
      </c>
      <c r="N3" t="str" xml:space="preserve">
        <v xml:space="preserve">깔창형 발난로 여성용 10팩_x000d_
(1팩=10매)</v>
      </c>
      <c r="R3" t="str" xml:space="preserve">
        <v xml:space="preserve">다용도 20매_x000d_
(1팩=20매)</v>
      </c>
      <c r="V3" t="str" xml:space="preserve">
        <v xml:space="preserve">대용량 30매_x000d_
(1팩=30매)</v>
      </c>
      <c r="Z3" t="str" xml:space="preserve">
        <v xml:space="preserve">대용량 40매_x000d_
(1팩=40매)</v>
      </c>
      <c r="AD3" t="str" xml:space="preserve">
        <v xml:space="preserve">더뜨거운 30매_x000d_
(1팩=30매)</v>
      </c>
      <c r="AH3" t="str" xml:space="preserve">
        <v xml:space="preserve">더뜨거운 40매_x000d_
(1팩=40매)</v>
      </c>
      <c r="AL3" t="str">
        <v>맑은날제습제 200g 10개</v>
      </c>
      <c r="AP3" t="str">
        <v>맥반석전기찜질기 1개</v>
      </c>
      <c r="AT3" t="str" xml:space="preserve">
        <v xml:space="preserve">목도리 5매_x000d_
(1팩=5매)</v>
      </c>
      <c r="AX3" t="str" xml:space="preserve">
        <v xml:space="preserve">박상병 30매_x000d_
(1팩=30매)</v>
      </c>
      <c r="BB3" t="str" xml:space="preserve">
        <v xml:space="preserve">박상병 40매_x000d_
(1팩=40매)</v>
      </c>
      <c r="BF3" t="str" xml:space="preserve">
        <v xml:space="preserve">발가락핫팩10매_x000d_
(1팩=10매)</v>
      </c>
      <c r="BJ3" t="str" xml:space="preserve">
        <v xml:space="preserve">발난로 2개입 15팩_x000d_
(1팩=15매)</v>
      </c>
      <c r="BN3" t="str" xml:space="preserve">
        <v xml:space="preserve">방석 4개입_x000d_
(1팩=4매)</v>
      </c>
      <c r="BR3" t="str" xml:space="preserve">
        <v xml:space="preserve">불가마 20매_x000d_
(1팩=20매)</v>
      </c>
      <c r="BV3" t="str" xml:space="preserve">
        <v xml:space="preserve">불가마 40매_x000d_
(1팩=40매)</v>
      </c>
      <c r="BZ3" t="str" xml:space="preserve">
        <v xml:space="preserve">붙이는 박상병 50매_x000d_
(1팩=50매)</v>
      </c>
      <c r="CD3" t="str" xml:space="preserve">
        <v xml:space="preserve">붙이는 생강 30매_x000d_
(1팩=30매)</v>
      </c>
      <c r="CH3" t="str" xml:space="preserve">
        <v xml:space="preserve">붙이는 쑥  30매_x000d_
(1팩=30매)</v>
      </c>
      <c r="CL3" t="str" xml:space="preserve">
        <v xml:space="preserve">손난로 20매_x000d_
(1팩=20매)</v>
      </c>
      <c r="CP3" t="str" xml:space="preserve">
        <v xml:space="preserve">손난로 30매_x000d_
(1팩=30매)</v>
      </c>
      <c r="CT3" t="str" xml:space="preserve">
        <v xml:space="preserve">손난로 40매_x000d_
(1팩=40매)</v>
      </c>
      <c r="CX3" t="str">
        <v>수능선물세트</v>
      </c>
      <c r="DB3" t="str" xml:space="preserve">
        <v xml:space="preserve">아랫배케어 20매_x000d_
(1팩=20매)</v>
      </c>
      <c r="DF3" t="str" xml:space="preserve">
        <v xml:space="preserve">아이워머 라벤더향 15매_x000d_
(1팩=15매)</v>
      </c>
      <c r="DJ3" t="str" xml:space="preserve">
        <v xml:space="preserve">아이워머 무향 15매_x000d_
(1팩=15매)</v>
      </c>
      <c r="DN3" t="str">
        <v>추석선물세트</v>
      </c>
      <c r="DR3" t="str" xml:space="preserve">
        <v xml:space="preserve">하루온팩 20매_x000d_
(1팩=20매)</v>
      </c>
      <c r="DV3" t="str" xml:space="preserve">
        <v xml:space="preserve">하루온팩 40매_x000d_
(1팩=40매)</v>
      </c>
      <c r="DZ3" t="str" xml:space="preserve">
        <v xml:space="preserve">하루온팩 50매_x000d_
(1팩=50매)</v>
      </c>
    </row>
    <row r="4">
      <c r="B4" t="str">
        <v>판매량(매)</v>
      </c>
      <c r="C4" t="str">
        <v>판매액(원)</v>
      </c>
      <c r="D4" t="str">
        <v>납품량(매)</v>
      </c>
      <c r="E4" t="str">
        <v>납품액(원)</v>
      </c>
      <c r="F4" t="str">
        <v>판매량(매)</v>
      </c>
      <c r="G4" t="str">
        <v>판매액(원)</v>
      </c>
      <c r="H4" t="str">
        <v>납품량(매)</v>
      </c>
      <c r="I4" t="str">
        <v>납품액(원)</v>
      </c>
      <c r="J4" t="str">
        <v>판매량(매)</v>
      </c>
      <c r="K4" t="str">
        <v>판매액(원)</v>
      </c>
      <c r="L4" t="str">
        <v>납품량(매)</v>
      </c>
      <c r="M4" t="str">
        <v>납품액(원)</v>
      </c>
      <c r="N4" t="str">
        <v>판매량(매)</v>
      </c>
      <c r="O4" t="str">
        <v>판매액(원)</v>
      </c>
      <c r="P4" t="str">
        <v>납품량(매)</v>
      </c>
      <c r="Q4" t="str">
        <v>납품액(원)</v>
      </c>
      <c r="R4" t="str">
        <v>판매량(매)</v>
      </c>
      <c r="S4" t="str">
        <v>판매액(원)</v>
      </c>
      <c r="T4" t="str">
        <v>납품량(매)</v>
      </c>
      <c r="U4" t="str">
        <v>납품액(원)</v>
      </c>
      <c r="V4" t="str">
        <v>판매량(매)</v>
      </c>
      <c r="W4" t="str">
        <v>판매액(원)</v>
      </c>
      <c r="X4" t="str">
        <v>납품량(매)</v>
      </c>
      <c r="Y4" t="str">
        <v>납품액(원)</v>
      </c>
      <c r="Z4" t="str">
        <v>판매량(매)</v>
      </c>
      <c r="AA4" t="str">
        <v>판매액(원)</v>
      </c>
      <c r="AB4" t="str">
        <v>납품량(매)</v>
      </c>
      <c r="AC4" t="str">
        <v>납품액(원)</v>
      </c>
      <c r="AD4" t="str">
        <v>판매량(매)</v>
      </c>
      <c r="AE4" t="str">
        <v>판매액(원)</v>
      </c>
      <c r="AF4" t="str">
        <v>납품량(매)</v>
      </c>
      <c r="AG4" t="str">
        <v>납품액(원)</v>
      </c>
      <c r="AH4" t="str">
        <v>판매량(매)</v>
      </c>
      <c r="AI4" t="str">
        <v>판매액(원)</v>
      </c>
      <c r="AJ4" t="str">
        <v>납품량(매)</v>
      </c>
      <c r="AK4" t="str">
        <v>납품액(원)</v>
      </c>
      <c r="AL4" t="str">
        <v>판매량(매)</v>
      </c>
      <c r="AM4" t="str">
        <v>판매액(원)</v>
      </c>
      <c r="AN4" t="str">
        <v>납품량(매)</v>
      </c>
      <c r="AO4" t="str">
        <v>납품액(원)</v>
      </c>
      <c r="AP4" t="str">
        <v>판매량(매)</v>
      </c>
      <c r="AQ4" t="str">
        <v>판매액(원)</v>
      </c>
      <c r="AR4" t="str">
        <v>납품량(매)</v>
      </c>
      <c r="AS4" t="str">
        <v>납품액(원)</v>
      </c>
      <c r="AT4" t="str">
        <v>판매량(매)</v>
      </c>
      <c r="AU4" t="str">
        <v>판매액(원)</v>
      </c>
      <c r="AV4" t="str">
        <v>납품량(매)</v>
      </c>
      <c r="AW4" t="str">
        <v>납품액(원)</v>
      </c>
      <c r="AX4" t="str">
        <v>판매량(매)</v>
      </c>
      <c r="AY4" t="str">
        <v>판매액(원)</v>
      </c>
      <c r="AZ4" t="str">
        <v>납품량(매)</v>
      </c>
      <c r="BA4" t="str">
        <v>납품액(원)</v>
      </c>
      <c r="BB4" t="str">
        <v>판매량(매)</v>
      </c>
      <c r="BC4" t="str">
        <v>판매액(원)</v>
      </c>
      <c r="BD4" t="str">
        <v>납품량(매)</v>
      </c>
      <c r="BE4" t="str">
        <v>납품액(원)</v>
      </c>
      <c r="BF4" t="str">
        <v>판매량(매)</v>
      </c>
      <c r="BG4" t="str">
        <v>판매액(원)</v>
      </c>
      <c r="BH4" t="str">
        <v>납품량(매)</v>
      </c>
      <c r="BI4" t="str">
        <v>납품액(원)</v>
      </c>
      <c r="BJ4" t="str">
        <v>판매량(매)</v>
      </c>
      <c r="BK4" t="str">
        <v>판매액(원)</v>
      </c>
      <c r="BL4" t="str">
        <v>납품량(매)</v>
      </c>
      <c r="BM4" t="str">
        <v>납품액(원)</v>
      </c>
      <c r="BN4" t="str">
        <v>판매량(매)</v>
      </c>
      <c r="BO4" t="str">
        <v>판매액(원)</v>
      </c>
      <c r="BP4" t="str">
        <v>납품량(매)</v>
      </c>
      <c r="BQ4" t="str">
        <v>납품액(원)</v>
      </c>
      <c r="BR4" t="str">
        <v>판매량(매)</v>
      </c>
      <c r="BS4" t="str">
        <v>판매액(원)</v>
      </c>
      <c r="BT4" t="str">
        <v>납품량(매)</v>
      </c>
      <c r="BU4" t="str">
        <v>납품액(원)</v>
      </c>
      <c r="BV4" t="str">
        <v>판매량(매)</v>
      </c>
      <c r="BW4" t="str">
        <v>판매액(원)</v>
      </c>
      <c r="BX4" t="str">
        <v>납품량(매)</v>
      </c>
      <c r="BY4" t="str">
        <v>납품액(원)</v>
      </c>
      <c r="BZ4" t="str">
        <v>판매량(매)</v>
      </c>
      <c r="CA4" t="str">
        <v>판매액(원)</v>
      </c>
      <c r="CB4" t="str">
        <v>납품량(매)</v>
      </c>
      <c r="CC4" t="str">
        <v>납품액(원)</v>
      </c>
      <c r="CD4" t="str">
        <v>판매량(매)</v>
      </c>
      <c r="CE4" t="str">
        <v>판매액(원)</v>
      </c>
      <c r="CF4" t="str">
        <v>납품량(매)</v>
      </c>
      <c r="CG4" t="str">
        <v>납품액(원)</v>
      </c>
      <c r="CH4" t="str">
        <v>판매량(매)</v>
      </c>
      <c r="CI4" t="str">
        <v>판매액(원)</v>
      </c>
      <c r="CJ4" t="str">
        <v>납품량(매)</v>
      </c>
      <c r="CK4" t="str">
        <v>납품액(원)</v>
      </c>
      <c r="CL4" t="str">
        <v>판매량(매)</v>
      </c>
      <c r="CM4" t="str">
        <v>판매액(원)</v>
      </c>
      <c r="CN4" t="str">
        <v>납품량(매)</v>
      </c>
      <c r="CO4" t="str">
        <v>납품액(원)</v>
      </c>
      <c r="CP4" t="str">
        <v>판매량(매)</v>
      </c>
      <c r="CQ4" t="str">
        <v>판매액(원)</v>
      </c>
      <c r="CR4" t="str">
        <v>납품량(매)</v>
      </c>
      <c r="CS4" t="str">
        <v>납품액(원)</v>
      </c>
      <c r="CT4" t="str">
        <v>판매량(매)</v>
      </c>
      <c r="CU4" t="str">
        <v>판매액(원)</v>
      </c>
      <c r="CV4" t="str">
        <v>납품량(매)</v>
      </c>
      <c r="CW4" t="str">
        <v>납품액(원)</v>
      </c>
      <c r="CX4" t="str">
        <v>판매량(매)</v>
      </c>
      <c r="CY4" t="str">
        <v>판매액(원)</v>
      </c>
      <c r="CZ4" t="str">
        <v>납품량(매)</v>
      </c>
      <c r="DA4" t="str">
        <v>납품액(원)</v>
      </c>
      <c r="DB4" t="str">
        <v>판매량(매)</v>
      </c>
      <c r="DC4" t="str">
        <v>판매액(원)</v>
      </c>
      <c r="DD4" t="str">
        <v>납품량(매)</v>
      </c>
      <c r="DE4" t="str">
        <v>납품액(원)</v>
      </c>
      <c r="DF4" t="str">
        <v>판매량(매)</v>
      </c>
      <c r="DG4" t="str">
        <v>판매액(원)</v>
      </c>
      <c r="DH4" t="str">
        <v>납품량(매)</v>
      </c>
      <c r="DI4" t="str">
        <v>납품액(원)</v>
      </c>
      <c r="DJ4" t="str">
        <v>판매량(매)</v>
      </c>
      <c r="DK4" t="str">
        <v>판매액(원)</v>
      </c>
      <c r="DL4" t="str">
        <v>납품량(매)</v>
      </c>
      <c r="DM4" t="str">
        <v>납품액(원)</v>
      </c>
      <c r="DN4" t="str">
        <v>판매량(매)</v>
      </c>
      <c r="DO4" t="str">
        <v>판매액(원)</v>
      </c>
      <c r="DP4" t="str">
        <v>납품량(매)</v>
      </c>
      <c r="DQ4" t="str">
        <v>납품액(원)</v>
      </c>
      <c r="DR4" t="str">
        <v>판매량(매)</v>
      </c>
      <c r="DS4" t="str">
        <v>판매액(원)</v>
      </c>
      <c r="DT4" t="str">
        <v>납품량(매)</v>
      </c>
      <c r="DU4" t="str">
        <v>납품액(원)</v>
      </c>
      <c r="DV4" t="str">
        <v>판매량(매)</v>
      </c>
      <c r="DW4" t="str">
        <v>판매액(원)</v>
      </c>
      <c r="DX4" t="str">
        <v>납품량(매)</v>
      </c>
      <c r="DY4" t="str">
        <v>납품액(원)</v>
      </c>
      <c r="DZ4" t="str">
        <v>판매량(매)</v>
      </c>
      <c r="EA4" t="str">
        <v>판매액(원)</v>
      </c>
      <c r="EB4" t="str">
        <v>납품량(매)</v>
      </c>
      <c r="EC4" t="str">
        <v>납품액(원)</v>
      </c>
    </row>
    <row r="5">
      <c r="A5" t="str">
        <v>2024-10</v>
      </c>
      <c r="B5">
        <v>4</v>
      </c>
      <c r="C5">
        <v>15312</v>
      </c>
      <c r="D5">
        <v>0</v>
      </c>
      <c r="E5">
        <v>0</v>
      </c>
      <c r="F5">
        <v>22</v>
      </c>
      <c r="G5">
        <v>141570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20</v>
      </c>
      <c r="O5">
        <v>12870</v>
      </c>
      <c r="P5">
        <v>0</v>
      </c>
      <c r="Q5">
        <v>0</v>
      </c>
      <c r="R5">
        <v>340</v>
      </c>
      <c r="S5">
        <v>164560</v>
      </c>
      <c r="T5">
        <v>800</v>
      </c>
      <c r="U5">
        <v>387200</v>
      </c>
      <c r="V5">
        <v>2760</v>
      </c>
      <c r="W5">
        <v>1129392</v>
      </c>
      <c r="X5">
        <v>0</v>
      </c>
      <c r="Y5">
        <v>0</v>
      </c>
      <c r="Z5">
        <v>40</v>
      </c>
      <c r="AA5">
        <v>15400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200</v>
      </c>
      <c r="AI5">
        <v>64499</v>
      </c>
      <c r="AJ5">
        <v>0</v>
      </c>
      <c r="AK5">
        <v>0</v>
      </c>
      <c r="AL5">
        <v>31</v>
      </c>
      <c r="AM5">
        <v>219604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55</v>
      </c>
      <c r="AU5">
        <v>68607</v>
      </c>
      <c r="AV5">
        <v>0</v>
      </c>
      <c r="AW5">
        <v>0</v>
      </c>
      <c r="AX5">
        <v>34650</v>
      </c>
      <c r="AY5">
        <v>14216895</v>
      </c>
      <c r="AZ5">
        <v>0</v>
      </c>
      <c r="BA5">
        <v>0</v>
      </c>
      <c r="BB5">
        <v>25480</v>
      </c>
      <c r="BC5">
        <v>10454444</v>
      </c>
      <c r="BD5">
        <v>0</v>
      </c>
      <c r="BE5">
        <v>0</v>
      </c>
      <c r="BF5">
        <v>240</v>
      </c>
      <c r="BG5">
        <v>154440</v>
      </c>
      <c r="BH5">
        <v>8000</v>
      </c>
      <c r="BI5">
        <v>5148000</v>
      </c>
      <c r="BJ5">
        <v>12930</v>
      </c>
      <c r="BK5">
        <v>7111500</v>
      </c>
      <c r="BL5">
        <v>0</v>
      </c>
      <c r="BM5">
        <v>0</v>
      </c>
      <c r="BN5">
        <v>580</v>
      </c>
      <c r="BO5">
        <v>904365</v>
      </c>
      <c r="BP5">
        <v>1072</v>
      </c>
      <c r="BQ5">
        <v>1671516</v>
      </c>
      <c r="BR5">
        <v>0</v>
      </c>
      <c r="BS5">
        <v>0</v>
      </c>
      <c r="BT5">
        <v>0</v>
      </c>
      <c r="BU5">
        <v>0</v>
      </c>
      <c r="BV5">
        <v>80</v>
      </c>
      <c r="BW5">
        <v>23320</v>
      </c>
      <c r="BX5">
        <v>0</v>
      </c>
      <c r="BY5">
        <v>0</v>
      </c>
      <c r="BZ5">
        <v>1250</v>
      </c>
      <c r="CA5">
        <v>286000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540</v>
      </c>
      <c r="CI5">
        <v>186020</v>
      </c>
      <c r="CJ5">
        <v>690</v>
      </c>
      <c r="CK5">
        <v>237694</v>
      </c>
      <c r="CL5">
        <v>1360</v>
      </c>
      <c r="CM5">
        <v>424116</v>
      </c>
      <c r="CN5">
        <v>0</v>
      </c>
      <c r="CO5">
        <v>0</v>
      </c>
      <c r="CP5">
        <v>9360</v>
      </c>
      <c r="CQ5">
        <v>2666664</v>
      </c>
      <c r="CR5">
        <v>0</v>
      </c>
      <c r="CS5">
        <v>0</v>
      </c>
      <c r="CT5">
        <v>3440</v>
      </c>
      <c r="CU5">
        <v>942216</v>
      </c>
      <c r="CV5">
        <v>0</v>
      </c>
      <c r="CW5">
        <v>0</v>
      </c>
      <c r="CX5">
        <v>0</v>
      </c>
      <c r="CY5">
        <v>0</v>
      </c>
      <c r="CZ5">
        <v>34</v>
      </c>
      <c r="DA5">
        <v>631873</v>
      </c>
      <c r="DB5">
        <v>380</v>
      </c>
      <c r="DC5">
        <v>179072</v>
      </c>
      <c r="DD5">
        <v>0</v>
      </c>
      <c r="DE5">
        <v>0</v>
      </c>
      <c r="DF5">
        <v>45</v>
      </c>
      <c r="DG5">
        <v>19110</v>
      </c>
      <c r="DH5">
        <v>0</v>
      </c>
      <c r="DI5">
        <v>0</v>
      </c>
      <c r="DJ5">
        <v>330</v>
      </c>
      <c r="DK5">
        <v>140141</v>
      </c>
      <c r="DL5">
        <v>900</v>
      </c>
      <c r="DM5">
        <v>382206</v>
      </c>
      <c r="DN5">
        <v>0</v>
      </c>
      <c r="DO5">
        <v>0</v>
      </c>
      <c r="DP5">
        <v>0</v>
      </c>
      <c r="DQ5">
        <v>0</v>
      </c>
      <c r="DR5">
        <v>94900</v>
      </c>
      <c r="DS5">
        <v>29594565</v>
      </c>
      <c r="DT5">
        <v>0</v>
      </c>
      <c r="DU5">
        <v>0</v>
      </c>
      <c r="DV5">
        <v>19480</v>
      </c>
      <c r="DW5">
        <v>4971296</v>
      </c>
      <c r="DX5">
        <v>0</v>
      </c>
      <c r="DY5">
        <v>0</v>
      </c>
      <c r="DZ5">
        <v>231300</v>
      </c>
      <c r="EA5">
        <v>59027760</v>
      </c>
      <c r="EB5">
        <v>0</v>
      </c>
      <c r="EC5">
        <v>0</v>
      </c>
    </row>
    <row r="6">
      <c r="A6" t="str">
        <v>2024-11</v>
      </c>
      <c r="B6">
        <v>27</v>
      </c>
      <c r="C6">
        <v>103356</v>
      </c>
      <c r="D6">
        <v>576</v>
      </c>
      <c r="E6">
        <v>2204928</v>
      </c>
      <c r="F6">
        <v>103</v>
      </c>
      <c r="G6">
        <v>662805</v>
      </c>
      <c r="H6">
        <v>864</v>
      </c>
      <c r="I6">
        <v>5559840</v>
      </c>
      <c r="J6">
        <v>50</v>
      </c>
      <c r="K6">
        <v>32175</v>
      </c>
      <c r="L6">
        <v>12000</v>
      </c>
      <c r="M6">
        <v>7722000</v>
      </c>
      <c r="N6">
        <v>510</v>
      </c>
      <c r="O6">
        <v>328185</v>
      </c>
      <c r="P6">
        <v>12000</v>
      </c>
      <c r="Q6">
        <v>7722000</v>
      </c>
      <c r="R6">
        <v>1060</v>
      </c>
      <c r="S6">
        <v>513040</v>
      </c>
      <c r="T6">
        <v>3680</v>
      </c>
      <c r="U6">
        <v>1781120</v>
      </c>
      <c r="V6">
        <v>32640</v>
      </c>
      <c r="W6">
        <v>13356288</v>
      </c>
      <c r="X6">
        <v>162000</v>
      </c>
      <c r="Y6">
        <v>66290400</v>
      </c>
      <c r="Z6">
        <v>200</v>
      </c>
      <c r="AA6">
        <v>77000</v>
      </c>
      <c r="AB6">
        <v>92160</v>
      </c>
      <c r="AC6">
        <v>35481600</v>
      </c>
      <c r="AD6">
        <v>270</v>
      </c>
      <c r="AE6">
        <v>90406</v>
      </c>
      <c r="AF6">
        <v>58320</v>
      </c>
      <c r="AG6">
        <v>19527868</v>
      </c>
      <c r="AH6">
        <v>2160</v>
      </c>
      <c r="AI6">
        <v>696581</v>
      </c>
      <c r="AJ6">
        <v>21600</v>
      </c>
      <c r="AK6">
        <v>6965838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740</v>
      </c>
      <c r="AU6">
        <v>923076</v>
      </c>
      <c r="AV6">
        <v>1150</v>
      </c>
      <c r="AW6">
        <v>1434510</v>
      </c>
      <c r="AX6">
        <v>404910</v>
      </c>
      <c r="AY6">
        <v>166134573</v>
      </c>
      <c r="AZ6">
        <v>543570</v>
      </c>
      <c r="BA6">
        <v>223026771</v>
      </c>
      <c r="BB6">
        <v>131080</v>
      </c>
      <c r="BC6">
        <v>53782124</v>
      </c>
      <c r="BD6">
        <v>391680</v>
      </c>
      <c r="BE6">
        <v>160706304</v>
      </c>
      <c r="BF6">
        <v>1820</v>
      </c>
      <c r="BG6">
        <v>1171170</v>
      </c>
      <c r="BH6">
        <v>12000</v>
      </c>
      <c r="BI6">
        <v>7722000</v>
      </c>
      <c r="BJ6">
        <v>34050</v>
      </c>
      <c r="BK6">
        <v>18727500</v>
      </c>
      <c r="BL6">
        <v>43200</v>
      </c>
      <c r="BM6">
        <v>23760000</v>
      </c>
      <c r="BN6">
        <v>352</v>
      </c>
      <c r="BO6">
        <v>548856</v>
      </c>
      <c r="BP6">
        <v>3120</v>
      </c>
      <c r="BQ6">
        <v>4864860</v>
      </c>
      <c r="BR6">
        <v>140</v>
      </c>
      <c r="BS6">
        <v>60807</v>
      </c>
      <c r="BT6">
        <v>0</v>
      </c>
      <c r="BU6">
        <v>0</v>
      </c>
      <c r="BV6">
        <v>920</v>
      </c>
      <c r="BW6">
        <v>268180</v>
      </c>
      <c r="BX6">
        <v>0</v>
      </c>
      <c r="BY6">
        <v>0</v>
      </c>
      <c r="BZ6">
        <v>3600</v>
      </c>
      <c r="CA6">
        <v>823680</v>
      </c>
      <c r="CB6">
        <v>24000</v>
      </c>
      <c r="CC6">
        <v>5491200</v>
      </c>
      <c r="CD6">
        <v>210</v>
      </c>
      <c r="CE6">
        <v>72338</v>
      </c>
      <c r="CF6">
        <v>0</v>
      </c>
      <c r="CG6">
        <v>0</v>
      </c>
      <c r="CH6">
        <v>3660</v>
      </c>
      <c r="CI6">
        <v>1260808</v>
      </c>
      <c r="CJ6">
        <v>6030</v>
      </c>
      <c r="CK6">
        <v>2077235</v>
      </c>
      <c r="CL6">
        <v>24580</v>
      </c>
      <c r="CM6">
        <v>7665273</v>
      </c>
      <c r="CN6">
        <v>96000</v>
      </c>
      <c r="CO6">
        <v>29937600</v>
      </c>
      <c r="CP6">
        <v>49290</v>
      </c>
      <c r="CQ6">
        <v>14042721</v>
      </c>
      <c r="CR6">
        <v>252000</v>
      </c>
      <c r="CS6">
        <v>71794800</v>
      </c>
      <c r="CT6">
        <v>6200</v>
      </c>
      <c r="CU6">
        <v>1698180</v>
      </c>
      <c r="CV6">
        <v>96000</v>
      </c>
      <c r="CW6">
        <v>26294400</v>
      </c>
      <c r="CX6">
        <v>0</v>
      </c>
      <c r="CY6">
        <v>0</v>
      </c>
      <c r="CZ6">
        <v>38</v>
      </c>
      <c r="DA6">
        <v>706211</v>
      </c>
      <c r="DB6">
        <v>740</v>
      </c>
      <c r="DC6">
        <v>348720</v>
      </c>
      <c r="DD6">
        <v>0</v>
      </c>
      <c r="DE6">
        <v>0</v>
      </c>
      <c r="DF6">
        <v>75</v>
      </c>
      <c r="DG6">
        <v>31850</v>
      </c>
      <c r="DH6">
        <v>45</v>
      </c>
      <c r="DI6">
        <v>19110</v>
      </c>
      <c r="DJ6">
        <v>705</v>
      </c>
      <c r="DK6">
        <v>299394</v>
      </c>
      <c r="DL6">
        <v>90</v>
      </c>
      <c r="DM6">
        <v>38220</v>
      </c>
      <c r="DN6">
        <v>1</v>
      </c>
      <c r="DO6">
        <v>16895</v>
      </c>
      <c r="DP6">
        <v>0</v>
      </c>
      <c r="DQ6">
        <v>0</v>
      </c>
      <c r="DR6">
        <v>297180</v>
      </c>
      <c r="DS6">
        <v>92675583</v>
      </c>
      <c r="DT6">
        <v>1145200</v>
      </c>
      <c r="DU6">
        <v>357130620</v>
      </c>
      <c r="DV6">
        <v>244560</v>
      </c>
      <c r="DW6">
        <v>62411712</v>
      </c>
      <c r="DX6">
        <v>993600</v>
      </c>
      <c r="DY6">
        <v>253566720</v>
      </c>
      <c r="DZ6">
        <v>1224050</v>
      </c>
      <c r="EA6">
        <v>312377560</v>
      </c>
      <c r="EB6">
        <v>972000</v>
      </c>
      <c r="EC6">
        <v>248054400</v>
      </c>
    </row>
    <row r="7">
      <c r="A7" t="str">
        <v>2024-12</v>
      </c>
      <c r="B7">
        <v>44</v>
      </c>
      <c r="C7">
        <v>168432</v>
      </c>
      <c r="D7">
        <v>0</v>
      </c>
      <c r="E7">
        <v>0</v>
      </c>
      <c r="F7">
        <v>763</v>
      </c>
      <c r="G7">
        <v>4909905</v>
      </c>
      <c r="H7">
        <v>0</v>
      </c>
      <c r="I7">
        <v>0</v>
      </c>
      <c r="J7">
        <v>390</v>
      </c>
      <c r="K7">
        <v>250965</v>
      </c>
      <c r="L7">
        <v>0</v>
      </c>
      <c r="M7">
        <v>0</v>
      </c>
      <c r="N7">
        <v>1310</v>
      </c>
      <c r="O7">
        <v>842985</v>
      </c>
      <c r="P7">
        <v>0</v>
      </c>
      <c r="Q7">
        <v>0</v>
      </c>
      <c r="R7">
        <v>2980</v>
      </c>
      <c r="S7">
        <v>1442320</v>
      </c>
      <c r="T7">
        <v>0</v>
      </c>
      <c r="U7">
        <v>0</v>
      </c>
      <c r="V7">
        <v>136470</v>
      </c>
      <c r="W7">
        <v>55843524</v>
      </c>
      <c r="X7">
        <v>0</v>
      </c>
      <c r="Y7">
        <v>0</v>
      </c>
      <c r="Z7">
        <v>2000</v>
      </c>
      <c r="AA7">
        <v>770000</v>
      </c>
      <c r="AB7">
        <v>0</v>
      </c>
      <c r="AC7">
        <v>0</v>
      </c>
      <c r="AD7">
        <v>2370</v>
      </c>
      <c r="AE7">
        <v>793569</v>
      </c>
      <c r="AF7">
        <v>0</v>
      </c>
      <c r="AG7">
        <v>0</v>
      </c>
      <c r="AH7">
        <v>1560</v>
      </c>
      <c r="AI7">
        <v>503088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1155</v>
      </c>
      <c r="AU7">
        <v>1440747</v>
      </c>
      <c r="AV7">
        <v>960</v>
      </c>
      <c r="AW7">
        <v>1197504</v>
      </c>
      <c r="AX7">
        <v>529380</v>
      </c>
      <c r="AY7">
        <v>217204614</v>
      </c>
      <c r="AZ7">
        <v>0</v>
      </c>
      <c r="BA7">
        <v>0</v>
      </c>
      <c r="BB7">
        <v>144880</v>
      </c>
      <c r="BC7">
        <v>59444264</v>
      </c>
      <c r="BD7">
        <v>46080</v>
      </c>
      <c r="BE7">
        <v>18906624</v>
      </c>
      <c r="BF7">
        <v>21960</v>
      </c>
      <c r="BG7">
        <v>14131260</v>
      </c>
      <c r="BH7">
        <v>3640</v>
      </c>
      <c r="BI7">
        <v>2342340</v>
      </c>
      <c r="BJ7">
        <v>49335</v>
      </c>
      <c r="BK7">
        <v>27134250</v>
      </c>
      <c r="BL7">
        <v>33120</v>
      </c>
      <c r="BM7">
        <v>18216000</v>
      </c>
      <c r="BN7">
        <v>952</v>
      </c>
      <c r="BO7">
        <v>1484406</v>
      </c>
      <c r="BP7">
        <v>0</v>
      </c>
      <c r="BQ7">
        <v>0</v>
      </c>
      <c r="BR7">
        <v>40</v>
      </c>
      <c r="BS7">
        <v>17374</v>
      </c>
      <c r="BT7">
        <v>0</v>
      </c>
      <c r="BU7">
        <v>0</v>
      </c>
      <c r="BV7">
        <v>1200</v>
      </c>
      <c r="BW7">
        <v>349800</v>
      </c>
      <c r="BX7">
        <v>0</v>
      </c>
      <c r="BY7">
        <v>0</v>
      </c>
      <c r="BZ7">
        <v>3750</v>
      </c>
      <c r="CA7">
        <v>858000</v>
      </c>
      <c r="CB7">
        <v>0</v>
      </c>
      <c r="CC7">
        <v>0</v>
      </c>
      <c r="CD7">
        <v>270</v>
      </c>
      <c r="CE7">
        <v>93011</v>
      </c>
      <c r="CF7">
        <v>0</v>
      </c>
      <c r="CG7">
        <v>0</v>
      </c>
      <c r="CH7">
        <v>6000</v>
      </c>
      <c r="CI7">
        <v>2066902</v>
      </c>
      <c r="CJ7">
        <v>2490</v>
      </c>
      <c r="CK7">
        <v>857764</v>
      </c>
      <c r="CL7">
        <v>37240</v>
      </c>
      <c r="CM7">
        <v>11613294</v>
      </c>
      <c r="CN7">
        <v>0</v>
      </c>
      <c r="CO7">
        <v>0</v>
      </c>
      <c r="CP7">
        <v>50880</v>
      </c>
      <c r="CQ7">
        <v>14495712</v>
      </c>
      <c r="CR7">
        <v>0</v>
      </c>
      <c r="CS7">
        <v>0</v>
      </c>
      <c r="CT7">
        <v>5000</v>
      </c>
      <c r="CU7">
        <v>1369500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440</v>
      </c>
      <c r="DC7">
        <v>207347</v>
      </c>
      <c r="DD7">
        <v>0</v>
      </c>
      <c r="DE7">
        <v>0</v>
      </c>
      <c r="DF7">
        <v>60</v>
      </c>
      <c r="DG7">
        <v>25480</v>
      </c>
      <c r="DH7">
        <v>0</v>
      </c>
      <c r="DI7">
        <v>0</v>
      </c>
      <c r="DJ7">
        <v>1515</v>
      </c>
      <c r="DK7">
        <v>643378</v>
      </c>
      <c r="DL7">
        <v>2340</v>
      </c>
      <c r="DM7">
        <v>993736</v>
      </c>
      <c r="DN7">
        <v>0</v>
      </c>
      <c r="DO7">
        <v>0</v>
      </c>
      <c r="DP7">
        <v>0</v>
      </c>
      <c r="DQ7">
        <v>0</v>
      </c>
      <c r="DR7">
        <v>564400</v>
      </c>
      <c r="DS7">
        <v>176008140</v>
      </c>
      <c r="DT7">
        <v>0</v>
      </c>
      <c r="DU7">
        <v>0</v>
      </c>
      <c r="DV7">
        <v>275440</v>
      </c>
      <c r="DW7">
        <v>70292288</v>
      </c>
      <c r="DX7">
        <v>0</v>
      </c>
      <c r="DY7">
        <v>0</v>
      </c>
      <c r="DZ7">
        <v>1381700</v>
      </c>
      <c r="EA7">
        <v>352609840</v>
      </c>
      <c r="EB7">
        <v>1178250</v>
      </c>
      <c r="EC7">
        <v>300689400</v>
      </c>
    </row>
    <row r="8">
      <c r="A8" t="str">
        <v>2025-01</v>
      </c>
      <c r="B8">
        <v>97</v>
      </c>
      <c r="C8">
        <v>371316</v>
      </c>
      <c r="D8">
        <v>0</v>
      </c>
      <c r="E8">
        <v>0</v>
      </c>
      <c r="F8">
        <v>1373</v>
      </c>
      <c r="G8">
        <v>8835255</v>
      </c>
      <c r="H8">
        <v>90</v>
      </c>
      <c r="I8">
        <v>579150</v>
      </c>
      <c r="J8">
        <v>7410</v>
      </c>
      <c r="K8">
        <v>4768335</v>
      </c>
      <c r="L8">
        <v>0</v>
      </c>
      <c r="M8">
        <v>0</v>
      </c>
      <c r="N8">
        <v>16940</v>
      </c>
      <c r="O8">
        <v>10900890</v>
      </c>
      <c r="P8">
        <v>6000</v>
      </c>
      <c r="Q8">
        <v>3861000</v>
      </c>
      <c r="R8">
        <v>1000</v>
      </c>
      <c r="S8">
        <v>484000</v>
      </c>
      <c r="T8">
        <v>800</v>
      </c>
      <c r="U8">
        <v>387200</v>
      </c>
      <c r="V8">
        <v>65370</v>
      </c>
      <c r="W8">
        <v>26749404</v>
      </c>
      <c r="X8">
        <v>0</v>
      </c>
      <c r="Y8">
        <v>0</v>
      </c>
      <c r="Z8">
        <v>91600</v>
      </c>
      <c r="AA8">
        <v>35266000</v>
      </c>
      <c r="AB8">
        <v>0</v>
      </c>
      <c r="AC8">
        <v>0</v>
      </c>
      <c r="AD8">
        <v>4650</v>
      </c>
      <c r="AE8">
        <v>1557006</v>
      </c>
      <c r="AF8">
        <v>0</v>
      </c>
      <c r="AG8">
        <v>0</v>
      </c>
      <c r="AH8">
        <v>1280</v>
      </c>
      <c r="AI8">
        <v>412789</v>
      </c>
      <c r="AJ8">
        <v>0</v>
      </c>
      <c r="AK8">
        <v>0</v>
      </c>
      <c r="AL8">
        <v>2</v>
      </c>
      <c r="AM8">
        <v>14168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45</v>
      </c>
      <c r="AU8">
        <v>56133</v>
      </c>
      <c r="AV8">
        <v>0</v>
      </c>
      <c r="AW8">
        <v>0</v>
      </c>
      <c r="AX8">
        <v>337380</v>
      </c>
      <c r="AY8">
        <v>138427014</v>
      </c>
      <c r="AZ8">
        <v>144000</v>
      </c>
      <c r="BA8">
        <v>59083200</v>
      </c>
      <c r="BB8">
        <v>168400</v>
      </c>
      <c r="BC8">
        <v>69094520</v>
      </c>
      <c r="BD8">
        <v>0</v>
      </c>
      <c r="BE8">
        <v>0</v>
      </c>
      <c r="BF8">
        <v>6280</v>
      </c>
      <c r="BG8">
        <v>4041180</v>
      </c>
      <c r="BH8">
        <v>6000</v>
      </c>
      <c r="BI8">
        <v>3861000</v>
      </c>
      <c r="BJ8">
        <v>42345</v>
      </c>
      <c r="BK8">
        <v>23289750</v>
      </c>
      <c r="BL8">
        <v>28800</v>
      </c>
      <c r="BM8">
        <v>15840000</v>
      </c>
      <c r="BN8">
        <v>644</v>
      </c>
      <c r="BO8">
        <v>1004157</v>
      </c>
      <c r="BP8">
        <v>0</v>
      </c>
      <c r="BQ8">
        <v>0</v>
      </c>
      <c r="BR8">
        <v>240</v>
      </c>
      <c r="BS8">
        <v>104242</v>
      </c>
      <c r="BT8">
        <v>0</v>
      </c>
      <c r="BU8">
        <v>0</v>
      </c>
      <c r="BV8">
        <v>760</v>
      </c>
      <c r="BW8">
        <v>221540</v>
      </c>
      <c r="BX8">
        <v>0</v>
      </c>
      <c r="BY8">
        <v>0</v>
      </c>
      <c r="BZ8">
        <v>4650</v>
      </c>
      <c r="CA8">
        <v>1063920</v>
      </c>
      <c r="CB8">
        <v>0</v>
      </c>
      <c r="CC8">
        <v>0</v>
      </c>
      <c r="CD8">
        <v>1800</v>
      </c>
      <c r="CE8">
        <v>620066</v>
      </c>
      <c r="CF8">
        <v>0</v>
      </c>
      <c r="CG8">
        <v>0</v>
      </c>
      <c r="CH8">
        <v>1080</v>
      </c>
      <c r="CI8">
        <v>372041</v>
      </c>
      <c r="CJ8">
        <v>1350</v>
      </c>
      <c r="CK8">
        <v>465053</v>
      </c>
      <c r="CL8">
        <v>11860</v>
      </c>
      <c r="CM8">
        <v>3698541</v>
      </c>
      <c r="CN8">
        <v>0</v>
      </c>
      <c r="CO8">
        <v>0</v>
      </c>
      <c r="CP8">
        <v>17820</v>
      </c>
      <c r="CQ8">
        <v>5076918</v>
      </c>
      <c r="CR8">
        <v>0</v>
      </c>
      <c r="CS8">
        <v>0</v>
      </c>
      <c r="CT8">
        <v>4320</v>
      </c>
      <c r="CU8">
        <v>1183248</v>
      </c>
      <c r="CV8">
        <v>0</v>
      </c>
      <c r="CW8">
        <v>0</v>
      </c>
      <c r="CX8">
        <v>2</v>
      </c>
      <c r="CY8">
        <v>37168</v>
      </c>
      <c r="CZ8">
        <v>0</v>
      </c>
      <c r="DA8">
        <v>0</v>
      </c>
      <c r="DB8">
        <v>1180</v>
      </c>
      <c r="DC8">
        <v>556066</v>
      </c>
      <c r="DD8">
        <v>0</v>
      </c>
      <c r="DE8">
        <v>0</v>
      </c>
      <c r="DF8">
        <v>15</v>
      </c>
      <c r="DG8">
        <v>6370</v>
      </c>
      <c r="DH8">
        <v>0</v>
      </c>
      <c r="DI8">
        <v>0</v>
      </c>
      <c r="DJ8">
        <v>2430</v>
      </c>
      <c r="DK8">
        <v>1031952</v>
      </c>
      <c r="DL8">
        <v>2730</v>
      </c>
      <c r="DM8">
        <v>1159358</v>
      </c>
      <c r="DN8">
        <v>1</v>
      </c>
      <c r="DO8">
        <v>16895</v>
      </c>
      <c r="DP8">
        <v>0</v>
      </c>
      <c r="DQ8">
        <v>0</v>
      </c>
      <c r="DR8">
        <v>383240</v>
      </c>
      <c r="DS8">
        <v>119513394</v>
      </c>
      <c r="DT8">
        <v>230400</v>
      </c>
      <c r="DU8">
        <v>71850240</v>
      </c>
      <c r="DV8">
        <v>671960</v>
      </c>
      <c r="DW8">
        <v>171484192</v>
      </c>
      <c r="DX8">
        <v>0</v>
      </c>
      <c r="DY8">
        <v>0</v>
      </c>
      <c r="DZ8">
        <v>461500</v>
      </c>
      <c r="EA8">
        <v>117774800</v>
      </c>
      <c r="EB8">
        <v>427000</v>
      </c>
      <c r="EC8">
        <v>108970400</v>
      </c>
    </row>
    <row r="9">
      <c r="A9" t="str">
        <v>2025-02</v>
      </c>
      <c r="B9">
        <v>42</v>
      </c>
      <c r="C9">
        <v>160776</v>
      </c>
      <c r="D9">
        <v>0</v>
      </c>
      <c r="E9">
        <v>0</v>
      </c>
      <c r="F9">
        <v>81</v>
      </c>
      <c r="G9">
        <v>521235</v>
      </c>
      <c r="H9">
        <v>0</v>
      </c>
      <c r="I9">
        <v>0</v>
      </c>
      <c r="J9">
        <v>9640</v>
      </c>
      <c r="K9">
        <v>6203340</v>
      </c>
      <c r="L9">
        <v>0</v>
      </c>
      <c r="M9">
        <v>0</v>
      </c>
      <c r="N9">
        <v>5680</v>
      </c>
      <c r="O9">
        <v>3655080</v>
      </c>
      <c r="P9">
        <v>0</v>
      </c>
      <c r="Q9">
        <v>0</v>
      </c>
      <c r="R9">
        <v>1400</v>
      </c>
      <c r="S9">
        <v>677600</v>
      </c>
      <c r="T9">
        <v>2000</v>
      </c>
      <c r="U9">
        <v>968000</v>
      </c>
      <c r="V9">
        <v>91170</v>
      </c>
      <c r="W9">
        <v>37306764</v>
      </c>
      <c r="X9">
        <v>0</v>
      </c>
      <c r="Y9">
        <v>0</v>
      </c>
      <c r="Z9">
        <v>70120</v>
      </c>
      <c r="AA9">
        <v>26996200</v>
      </c>
      <c r="AB9">
        <v>0</v>
      </c>
      <c r="AC9">
        <v>0</v>
      </c>
      <c r="AD9">
        <v>5910</v>
      </c>
      <c r="AE9">
        <v>1978901</v>
      </c>
      <c r="AF9">
        <v>0</v>
      </c>
      <c r="AG9">
        <v>0</v>
      </c>
      <c r="AH9">
        <v>6080</v>
      </c>
      <c r="AI9">
        <v>1960751</v>
      </c>
      <c r="AJ9">
        <v>0</v>
      </c>
      <c r="AK9">
        <v>0</v>
      </c>
      <c r="AL9">
        <v>2</v>
      </c>
      <c r="AM9">
        <v>14168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230</v>
      </c>
      <c r="AU9">
        <v>286902</v>
      </c>
      <c r="AV9">
        <v>0</v>
      </c>
      <c r="AW9">
        <v>0</v>
      </c>
      <c r="AX9">
        <v>86880</v>
      </c>
      <c r="AY9">
        <v>35646864</v>
      </c>
      <c r="AZ9">
        <v>50400</v>
      </c>
      <c r="BA9">
        <v>20679120</v>
      </c>
      <c r="BB9">
        <v>93520</v>
      </c>
      <c r="BC9">
        <v>38371256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11010</v>
      </c>
      <c r="BK9">
        <v>6055500</v>
      </c>
      <c r="BL9">
        <v>0</v>
      </c>
      <c r="BM9">
        <v>0</v>
      </c>
      <c r="BN9">
        <v>1204</v>
      </c>
      <c r="BO9">
        <v>1877337</v>
      </c>
      <c r="BP9">
        <v>0</v>
      </c>
      <c r="BQ9">
        <v>0</v>
      </c>
      <c r="BR9">
        <v>460</v>
      </c>
      <c r="BS9">
        <v>199796</v>
      </c>
      <c r="BT9">
        <v>0</v>
      </c>
      <c r="BU9">
        <v>0</v>
      </c>
      <c r="BV9">
        <v>720</v>
      </c>
      <c r="BW9">
        <v>209880</v>
      </c>
      <c r="BX9">
        <v>0</v>
      </c>
      <c r="BY9">
        <v>0</v>
      </c>
      <c r="BZ9">
        <v>6300</v>
      </c>
      <c r="CA9">
        <v>1441440</v>
      </c>
      <c r="CB9">
        <v>0</v>
      </c>
      <c r="CC9">
        <v>0</v>
      </c>
      <c r="CD9">
        <v>1500</v>
      </c>
      <c r="CE9">
        <v>516721</v>
      </c>
      <c r="CF9">
        <v>0</v>
      </c>
      <c r="CG9">
        <v>0</v>
      </c>
      <c r="CH9">
        <v>270</v>
      </c>
      <c r="CI9">
        <v>93009</v>
      </c>
      <c r="CJ9">
        <v>360</v>
      </c>
      <c r="CK9">
        <v>124013</v>
      </c>
      <c r="CL9">
        <v>15400</v>
      </c>
      <c r="CM9">
        <v>4802490</v>
      </c>
      <c r="CN9">
        <v>0</v>
      </c>
      <c r="CO9">
        <v>0</v>
      </c>
      <c r="CP9">
        <v>70710</v>
      </c>
      <c r="CQ9">
        <v>20145279</v>
      </c>
      <c r="CR9">
        <v>0</v>
      </c>
      <c r="CS9">
        <v>0</v>
      </c>
      <c r="CT9">
        <v>5240</v>
      </c>
      <c r="CU9">
        <v>1435236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1020</v>
      </c>
      <c r="DC9">
        <v>480667</v>
      </c>
      <c r="DD9">
        <v>0</v>
      </c>
      <c r="DE9">
        <v>0</v>
      </c>
      <c r="DF9">
        <v>15</v>
      </c>
      <c r="DG9">
        <v>6370</v>
      </c>
      <c r="DH9">
        <v>0</v>
      </c>
      <c r="DI9">
        <v>0</v>
      </c>
      <c r="DJ9">
        <v>2565</v>
      </c>
      <c r="DK9">
        <v>1089284</v>
      </c>
      <c r="DL9">
        <v>2580</v>
      </c>
      <c r="DM9">
        <v>1095658</v>
      </c>
      <c r="DN9">
        <v>1</v>
      </c>
      <c r="DO9">
        <v>16895</v>
      </c>
      <c r="DP9">
        <v>0</v>
      </c>
      <c r="DQ9">
        <v>0</v>
      </c>
      <c r="DR9">
        <v>161180</v>
      </c>
      <c r="DS9">
        <v>50263983</v>
      </c>
      <c r="DT9">
        <v>144000</v>
      </c>
      <c r="DU9">
        <v>44906400</v>
      </c>
      <c r="DV9">
        <v>485440</v>
      </c>
      <c r="DW9">
        <v>123884288</v>
      </c>
      <c r="DX9">
        <v>0</v>
      </c>
      <c r="DY9">
        <v>0</v>
      </c>
      <c r="DZ9">
        <v>172900</v>
      </c>
      <c r="EA9">
        <v>44124080</v>
      </c>
      <c r="EB9">
        <v>60000</v>
      </c>
      <c r="EC9">
        <v>15312000</v>
      </c>
    </row>
    <row r="10">
      <c r="A10" t="str">
        <v>2025-03</v>
      </c>
      <c r="B10">
        <v>7</v>
      </c>
      <c r="C10">
        <v>26796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80</v>
      </c>
      <c r="K10">
        <v>51480</v>
      </c>
      <c r="L10">
        <v>0</v>
      </c>
      <c r="M10">
        <v>0</v>
      </c>
      <c r="N10">
        <v>10</v>
      </c>
      <c r="O10">
        <v>6435</v>
      </c>
      <c r="P10">
        <v>0</v>
      </c>
      <c r="Q10">
        <v>0</v>
      </c>
      <c r="R10">
        <v>1440</v>
      </c>
      <c r="S10">
        <v>696960</v>
      </c>
      <c r="T10">
        <v>680</v>
      </c>
      <c r="U10">
        <v>329120</v>
      </c>
      <c r="V10">
        <v>20970</v>
      </c>
      <c r="W10">
        <v>8580924</v>
      </c>
      <c r="X10">
        <v>0</v>
      </c>
      <c r="Y10">
        <v>0</v>
      </c>
      <c r="Z10">
        <v>13400</v>
      </c>
      <c r="AA10">
        <v>5159000</v>
      </c>
      <c r="AB10">
        <v>0</v>
      </c>
      <c r="AC10">
        <v>0</v>
      </c>
      <c r="AD10">
        <v>10080</v>
      </c>
      <c r="AE10">
        <v>3375190</v>
      </c>
      <c r="AF10">
        <v>0</v>
      </c>
      <c r="AG10">
        <v>0</v>
      </c>
      <c r="AH10">
        <v>13640</v>
      </c>
      <c r="AI10">
        <v>4398800</v>
      </c>
      <c r="AJ10">
        <v>0</v>
      </c>
      <c r="AK10">
        <v>0</v>
      </c>
      <c r="AL10">
        <v>9</v>
      </c>
      <c r="AM10">
        <v>63756</v>
      </c>
      <c r="AN10">
        <v>0</v>
      </c>
      <c r="AO10">
        <v>0</v>
      </c>
      <c r="AP10">
        <v>2</v>
      </c>
      <c r="AQ10">
        <v>49999</v>
      </c>
      <c r="AR10">
        <v>0</v>
      </c>
      <c r="AS10">
        <v>0</v>
      </c>
      <c r="AT10">
        <v>90</v>
      </c>
      <c r="AU10">
        <v>112266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22760</v>
      </c>
      <c r="BC10">
        <v>9338428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592</v>
      </c>
      <c r="BO10">
        <v>923076</v>
      </c>
      <c r="BP10">
        <v>0</v>
      </c>
      <c r="BQ10">
        <v>0</v>
      </c>
      <c r="BR10">
        <v>40</v>
      </c>
      <c r="BS10">
        <v>17374</v>
      </c>
      <c r="BT10">
        <v>0</v>
      </c>
      <c r="BU10">
        <v>0</v>
      </c>
      <c r="BV10">
        <v>120</v>
      </c>
      <c r="BW10">
        <v>34980</v>
      </c>
      <c r="BX10">
        <v>0</v>
      </c>
      <c r="BY10">
        <v>0</v>
      </c>
      <c r="BZ10">
        <v>2450</v>
      </c>
      <c r="CA10">
        <v>560560</v>
      </c>
      <c r="CB10">
        <v>0</v>
      </c>
      <c r="CC10">
        <v>0</v>
      </c>
      <c r="CD10">
        <v>2430</v>
      </c>
      <c r="CE10">
        <v>837093</v>
      </c>
      <c r="CF10">
        <v>0</v>
      </c>
      <c r="CG10">
        <v>0</v>
      </c>
      <c r="CH10">
        <v>360</v>
      </c>
      <c r="CI10">
        <v>124014</v>
      </c>
      <c r="CJ10">
        <v>0</v>
      </c>
      <c r="CK10">
        <v>0</v>
      </c>
      <c r="CL10">
        <v>24560</v>
      </c>
      <c r="CM10">
        <v>7659036</v>
      </c>
      <c r="CN10">
        <v>0</v>
      </c>
      <c r="CO10">
        <v>0</v>
      </c>
      <c r="CP10">
        <v>93240</v>
      </c>
      <c r="CQ10">
        <v>26564076</v>
      </c>
      <c r="CR10">
        <v>0</v>
      </c>
      <c r="CS10">
        <v>0</v>
      </c>
      <c r="CT10">
        <v>1480</v>
      </c>
      <c r="CU10">
        <v>405372</v>
      </c>
      <c r="CV10">
        <v>0</v>
      </c>
      <c r="CW10">
        <v>0</v>
      </c>
      <c r="CX10">
        <v>1</v>
      </c>
      <c r="CY10">
        <v>18584</v>
      </c>
      <c r="CZ10">
        <v>0</v>
      </c>
      <c r="DA10">
        <v>0</v>
      </c>
      <c r="DB10">
        <v>4080</v>
      </c>
      <c r="DC10">
        <v>1922659</v>
      </c>
      <c r="DD10">
        <v>9600</v>
      </c>
      <c r="DE10">
        <v>4523904</v>
      </c>
      <c r="DF10">
        <v>60</v>
      </c>
      <c r="DG10">
        <v>25480</v>
      </c>
      <c r="DH10">
        <v>0</v>
      </c>
      <c r="DI10">
        <v>0</v>
      </c>
      <c r="DJ10">
        <v>1410</v>
      </c>
      <c r="DK10">
        <v>598789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21360</v>
      </c>
      <c r="DS10">
        <v>6661116</v>
      </c>
      <c r="DT10">
        <v>19880</v>
      </c>
      <c r="DU10">
        <v>6199578</v>
      </c>
      <c r="DV10">
        <v>600</v>
      </c>
      <c r="DW10">
        <v>153120</v>
      </c>
      <c r="DX10">
        <v>0</v>
      </c>
      <c r="DY10">
        <v>0</v>
      </c>
      <c r="DZ10">
        <v>150</v>
      </c>
      <c r="EA10">
        <v>38280</v>
      </c>
      <c r="EB10">
        <v>0</v>
      </c>
      <c r="EC10">
        <v>0</v>
      </c>
    </row>
    <row r="11">
      <c r="A11" t="str">
        <v>합  계</v>
      </c>
      <c r="B11">
        <f>SUM(B5:B10)</f>
        <v>221</v>
      </c>
      <c r="C11">
        <f>SUM(C5:C10)</f>
        <v>845988</v>
      </c>
      <c r="D11">
        <f>SUM(D5:D10)</f>
        <v>576</v>
      </c>
      <c r="E11">
        <f>SUM(E5:E10)</f>
        <v>2204928</v>
      </c>
      <c r="F11">
        <f>SUM(F5:F10)</f>
        <v>2342</v>
      </c>
      <c r="G11">
        <f>SUM(G5:G10)</f>
        <v>15070770</v>
      </c>
      <c r="H11">
        <f>SUM(H5:H10)</f>
        <v>954</v>
      </c>
      <c r="I11">
        <f>SUM(I5:I10)</f>
        <v>6138990</v>
      </c>
      <c r="J11">
        <f>SUM(J5:J10)</f>
        <v>17570</v>
      </c>
      <c r="K11">
        <f>SUM(K5:K10)</f>
        <v>11306295</v>
      </c>
      <c r="L11">
        <f>SUM(L5:L10)</f>
        <v>12000</v>
      </c>
      <c r="M11">
        <f>SUM(M5:M10)</f>
        <v>7722000</v>
      </c>
      <c r="N11">
        <f>SUM(N5:N10)</f>
        <v>24470</v>
      </c>
      <c r="O11">
        <f>SUM(O5:O10)</f>
        <v>15746445</v>
      </c>
      <c r="P11">
        <f>SUM(P5:P10)</f>
        <v>18000</v>
      </c>
      <c r="Q11">
        <f>SUM(Q5:Q10)</f>
        <v>11583000</v>
      </c>
      <c r="R11">
        <f>SUM(R5:R10)</f>
        <v>8220</v>
      </c>
      <c r="S11">
        <f>SUM(S5:S10)</f>
        <v>3978480</v>
      </c>
      <c r="T11">
        <f>SUM(T5:T10)</f>
        <v>7960</v>
      </c>
      <c r="U11">
        <f>SUM(U5:U10)</f>
        <v>3852640</v>
      </c>
      <c r="V11">
        <f>SUM(V5:V10)</f>
        <v>349380</v>
      </c>
      <c r="W11">
        <f>SUM(W5:W10)</f>
        <v>142966296</v>
      </c>
      <c r="X11">
        <f>SUM(X5:X10)</f>
        <v>162000</v>
      </c>
      <c r="Y11">
        <f>SUM(Y5:Y10)</f>
        <v>66290400</v>
      </c>
      <c r="Z11">
        <f>SUM(Z5:Z10)</f>
        <v>177360</v>
      </c>
      <c r="AA11">
        <f>SUM(AA5:AA10)</f>
        <v>68283600</v>
      </c>
      <c r="AB11">
        <f>SUM(AB5:AB10)</f>
        <v>92160</v>
      </c>
      <c r="AC11">
        <f>SUM(AC5:AC10)</f>
        <v>35481600</v>
      </c>
      <c r="AD11">
        <f>SUM(AD5:AD10)</f>
        <v>23280</v>
      </c>
      <c r="AE11">
        <f>SUM(AE5:AE10)</f>
        <v>7795072</v>
      </c>
      <c r="AF11">
        <f>SUM(AF5:AF10)</f>
        <v>58320</v>
      </c>
      <c r="AG11">
        <f>SUM(AG5:AG10)</f>
        <v>19527868</v>
      </c>
      <c r="AH11">
        <f>SUM(AH5:AH10)</f>
        <v>24920</v>
      </c>
      <c r="AI11">
        <f>SUM(AI5:AI10)</f>
        <v>8036508</v>
      </c>
      <c r="AJ11">
        <f>SUM(AJ5:AJ10)</f>
        <v>21600</v>
      </c>
      <c r="AK11">
        <f>SUM(AK5:AK10)</f>
        <v>6965838</v>
      </c>
      <c r="AL11">
        <f>SUM(AL5:AL10)</f>
        <v>44</v>
      </c>
      <c r="AM11">
        <f>SUM(AM5:AM10)</f>
        <v>311696</v>
      </c>
      <c r="AN11">
        <f>SUM(AN5:AN10)</f>
        <v>0</v>
      </c>
      <c r="AO11">
        <f>SUM(AO5:AO10)</f>
        <v>0</v>
      </c>
      <c r="AP11">
        <f>SUM(AP5:AP10)</f>
        <v>2</v>
      </c>
      <c r="AQ11">
        <f>SUM(AQ5:AQ10)</f>
        <v>49999</v>
      </c>
      <c r="AR11">
        <f>SUM(AR5:AR10)</f>
        <v>0</v>
      </c>
      <c r="AS11">
        <f>SUM(AS5:AS10)</f>
        <v>0</v>
      </c>
      <c r="AT11">
        <f>SUM(AT5:AT10)</f>
        <v>2315</v>
      </c>
      <c r="AU11">
        <f>SUM(AU5:AU10)</f>
        <v>2887731</v>
      </c>
      <c r="AV11">
        <f>SUM(AV5:AV10)</f>
        <v>2110</v>
      </c>
      <c r="AW11">
        <f>SUM(AW5:AW10)</f>
        <v>2632014</v>
      </c>
      <c r="AX11">
        <f>SUM(AX5:AX10)</f>
        <v>1393200</v>
      </c>
      <c r="AY11">
        <f>SUM(AY5:AY10)</f>
        <v>571629960</v>
      </c>
      <c r="AZ11">
        <f>SUM(AZ5:AZ10)</f>
        <v>737970</v>
      </c>
      <c r="BA11">
        <f>SUM(BA5:BA10)</f>
        <v>302789091</v>
      </c>
      <c r="BB11">
        <f>SUM(BB5:BB10)</f>
        <v>586120</v>
      </c>
      <c r="BC11">
        <f>SUM(BC5:BC10)</f>
        <v>240485036</v>
      </c>
      <c r="BD11">
        <f>SUM(BD5:BD10)</f>
        <v>437760</v>
      </c>
      <c r="BE11">
        <f>SUM(BE5:BE10)</f>
        <v>179612928</v>
      </c>
      <c r="BF11">
        <f>SUM(BF5:BF10)</f>
        <v>30300</v>
      </c>
      <c r="BG11">
        <f>SUM(BG5:BG10)</f>
        <v>19498050</v>
      </c>
      <c r="BH11">
        <f>SUM(BH5:BH10)</f>
        <v>29640</v>
      </c>
      <c r="BI11">
        <f>SUM(BI5:BI10)</f>
        <v>19073340</v>
      </c>
      <c r="BJ11">
        <f>SUM(BJ5:BJ10)</f>
        <v>149670</v>
      </c>
      <c r="BK11">
        <f>SUM(BK5:BK10)</f>
        <v>82318500</v>
      </c>
      <c r="BL11">
        <f>SUM(BL5:BL10)</f>
        <v>105120</v>
      </c>
      <c r="BM11">
        <f>SUM(BM5:BM10)</f>
        <v>57816000</v>
      </c>
      <c r="BN11">
        <f>SUM(BN5:BN10)</f>
        <v>4324</v>
      </c>
      <c r="BO11">
        <f>SUM(BO5:BO10)</f>
        <v>6742197</v>
      </c>
      <c r="BP11">
        <f>SUM(BP5:BP10)</f>
        <v>4192</v>
      </c>
      <c r="BQ11">
        <f>SUM(BQ5:BQ10)</f>
        <v>6536376</v>
      </c>
      <c r="BR11">
        <f>SUM(BR5:BR10)</f>
        <v>920</v>
      </c>
      <c r="BS11">
        <f>SUM(BS5:BS10)</f>
        <v>399593</v>
      </c>
      <c r="BT11">
        <f>SUM(BT5:BT10)</f>
        <v>0</v>
      </c>
      <c r="BU11">
        <f>SUM(BU5:BU10)</f>
        <v>0</v>
      </c>
      <c r="BV11">
        <f>SUM(BV5:BV10)</f>
        <v>3800</v>
      </c>
      <c r="BW11">
        <f>SUM(BW5:BW10)</f>
        <v>1107700</v>
      </c>
      <c r="BX11">
        <f>SUM(BX5:BX10)</f>
        <v>0</v>
      </c>
      <c r="BY11">
        <f>SUM(BY5:BY10)</f>
        <v>0</v>
      </c>
      <c r="BZ11">
        <f>SUM(BZ5:BZ10)</f>
        <v>22000</v>
      </c>
      <c r="CA11">
        <f>SUM(CA5:CA10)</f>
        <v>5033600</v>
      </c>
      <c r="CB11">
        <f>SUM(CB5:CB10)</f>
        <v>24000</v>
      </c>
      <c r="CC11">
        <f>SUM(CC5:CC10)</f>
        <v>5491200</v>
      </c>
      <c r="CD11">
        <f>SUM(CD5:CD10)</f>
        <v>6210</v>
      </c>
      <c r="CE11">
        <f>SUM(CE5:CE10)</f>
        <v>2139229</v>
      </c>
      <c r="CF11">
        <f>SUM(CF5:CF10)</f>
        <v>0</v>
      </c>
      <c r="CG11">
        <f>SUM(CG5:CG10)</f>
        <v>0</v>
      </c>
      <c r="CH11">
        <f>SUM(CH5:CH10)</f>
        <v>11910</v>
      </c>
      <c r="CI11">
        <f>SUM(CI5:CI10)</f>
        <v>4102794</v>
      </c>
      <c r="CJ11">
        <f>SUM(CJ5:CJ10)</f>
        <v>10920</v>
      </c>
      <c r="CK11">
        <f>SUM(CK5:CK10)</f>
        <v>3761759</v>
      </c>
      <c r="CL11">
        <f>SUM(CL5:CL10)</f>
        <v>115000</v>
      </c>
      <c r="CM11">
        <f>SUM(CM5:CM10)</f>
        <v>35862750</v>
      </c>
      <c r="CN11">
        <f>SUM(CN5:CN10)</f>
        <v>96000</v>
      </c>
      <c r="CO11">
        <f>SUM(CO5:CO10)</f>
        <v>29937600</v>
      </c>
      <c r="CP11">
        <f>SUM(CP5:CP10)</f>
        <v>291300</v>
      </c>
      <c r="CQ11">
        <f>SUM(CQ5:CQ10)</f>
        <v>82991370</v>
      </c>
      <c r="CR11">
        <f>SUM(CR5:CR10)</f>
        <v>252000</v>
      </c>
      <c r="CS11">
        <f>SUM(CS5:CS10)</f>
        <v>71794800</v>
      </c>
      <c r="CT11">
        <f>SUM(CT5:CT10)</f>
        <v>25680</v>
      </c>
      <c r="CU11">
        <f>SUM(CU5:CU10)</f>
        <v>7033752</v>
      </c>
      <c r="CV11">
        <f>SUM(CV5:CV10)</f>
        <v>96000</v>
      </c>
      <c r="CW11">
        <f>SUM(CW5:CW10)</f>
        <v>26294400</v>
      </c>
      <c r="CX11">
        <f>SUM(CX5:CX10)</f>
        <v>3</v>
      </c>
      <c r="CY11">
        <f>SUM(CY5:CY10)</f>
        <v>55752</v>
      </c>
      <c r="CZ11">
        <f>SUM(CZ5:CZ10)</f>
        <v>72</v>
      </c>
      <c r="DA11">
        <f>SUM(DA5:DA10)</f>
        <v>1338084</v>
      </c>
      <c r="DB11">
        <f>SUM(DB5:DB10)</f>
        <v>7840</v>
      </c>
      <c r="DC11">
        <f>SUM(DC5:DC10)</f>
        <v>3694531</v>
      </c>
      <c r="DD11">
        <f>SUM(DD5:DD10)</f>
        <v>9600</v>
      </c>
      <c r="DE11">
        <f>SUM(DE5:DE10)</f>
        <v>4523904</v>
      </c>
      <c r="DF11">
        <f>SUM(DF5:DF10)</f>
        <v>270</v>
      </c>
      <c r="DG11">
        <f>SUM(DG5:DG10)</f>
        <v>114660</v>
      </c>
      <c r="DH11">
        <f>SUM(DH5:DH10)</f>
        <v>45</v>
      </c>
      <c r="DI11">
        <f>SUM(DI5:DI10)</f>
        <v>19110</v>
      </c>
      <c r="DJ11">
        <f>SUM(DJ5:DJ10)</f>
        <v>8955</v>
      </c>
      <c r="DK11">
        <f>SUM(DK5:DK10)</f>
        <v>3802938</v>
      </c>
      <c r="DL11">
        <f>SUM(DL5:DL10)</f>
        <v>8640</v>
      </c>
      <c r="DM11">
        <f>SUM(DM5:DM10)</f>
        <v>3669178</v>
      </c>
      <c r="DN11">
        <f>SUM(DN5:DN10)</f>
        <v>3</v>
      </c>
      <c r="DO11">
        <f>SUM(DO5:DO10)</f>
        <v>50685</v>
      </c>
      <c r="DP11">
        <f>SUM(DP5:DP10)</f>
        <v>0</v>
      </c>
      <c r="DQ11">
        <f>SUM(DQ5:DQ10)</f>
        <v>0</v>
      </c>
      <c r="DR11">
        <f>SUM(DR5:DR10)</f>
        <v>1522260</v>
      </c>
      <c r="DS11">
        <f>SUM(DS5:DS10)</f>
        <v>474716781</v>
      </c>
      <c r="DT11">
        <f>SUM(DT5:DT10)</f>
        <v>1539480</v>
      </c>
      <c r="DU11">
        <f>SUM(DU5:DU10)</f>
        <v>480086838</v>
      </c>
      <c r="DV11">
        <f>SUM(DV5:DV10)</f>
        <v>1697480</v>
      </c>
      <c r="DW11">
        <f>SUM(DW5:DW10)</f>
        <v>433196896</v>
      </c>
      <c r="DX11">
        <f>SUM(DX5:DX10)</f>
        <v>993600</v>
      </c>
      <c r="DY11">
        <f>SUM(DY5:DY10)</f>
        <v>253566720</v>
      </c>
      <c r="DZ11">
        <f>SUM(DZ5:DZ10)</f>
        <v>3471600</v>
      </c>
      <c r="EA11">
        <f>SUM(EA5:EA10)</f>
        <v>885952320</v>
      </c>
      <c r="EB11">
        <f>SUM(EB5:EB10)</f>
        <v>2637250</v>
      </c>
      <c r="EC11">
        <f>SUM(EC5:EC10)</f>
        <v>673026200</v>
      </c>
    </row>
  </sheetData>
  <mergeCells count="36">
    <mergeCell ref="F3:I3"/>
    <mergeCell ref="AT3:AW3"/>
    <mergeCell ref="A2:EC2"/>
    <mergeCell ref="N3:Q3"/>
    <mergeCell ref="BN3:BQ3"/>
    <mergeCell ref="BF3:BI3"/>
    <mergeCell ref="BR3:BU3"/>
    <mergeCell ref="BZ3:CC3"/>
    <mergeCell ref="DJ3:DM3"/>
    <mergeCell ref="DV3:DY3"/>
    <mergeCell ref="Z3:AC3"/>
    <mergeCell ref="AL3:AO3"/>
    <mergeCell ref="CP3:CS3"/>
    <mergeCell ref="A1:EC1"/>
    <mergeCell ref="BV3:BY3"/>
    <mergeCell ref="DF3:DI3"/>
    <mergeCell ref="CD3:CG3"/>
    <mergeCell ref="DR3:DU3"/>
    <mergeCell ref="DN3:DQ3"/>
    <mergeCell ref="DZ3:EC3"/>
    <mergeCell ref="V3:Y3"/>
    <mergeCell ref="A3:A4"/>
    <mergeCell ref="AD3:AG3"/>
    <mergeCell ref="AH3:AK3"/>
    <mergeCell ref="CH3:CK3"/>
    <mergeCell ref="B3:E3"/>
    <mergeCell ref="AP3:AS3"/>
    <mergeCell ref="BB3:BE3"/>
    <mergeCell ref="CL3:CO3"/>
    <mergeCell ref="R3:U3"/>
    <mergeCell ref="CT3:CW3"/>
    <mergeCell ref="DB3:DE3"/>
    <mergeCell ref="J3:M3"/>
    <mergeCell ref="AX3:BA3"/>
    <mergeCell ref="BJ3:BM3"/>
    <mergeCell ref="CX3:DA3"/>
  </mergeCells>
  <pageMargins left="0.75" right="0.75" top="1" bottom="1" header="0.5" footer="0.5"/>
  <ignoredErrors>
    <ignoredError numberStoredAsText="1" sqref="A1:E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M11"/>
  <sheetViews>
    <sheetView workbookViewId="0" rightToLeft="0"/>
  </sheetViews>
  <sheetData>
    <row r="1">
      <c r="A1" t="str">
        <v>[Layer 1] 25-26시즌 월별 판매·납품 — 수량 단위: 매(개별)  ※원본 그대로 사용</v>
      </c>
    </row>
    <row r="2">
      <c r="A2" t="str">
        <v>쿠팡 25-26시즌 월별 판매·납품 현황</v>
      </c>
    </row>
    <row r="3">
      <c r="A3" t="str">
        <v>연월</v>
      </c>
      <c r="B3" t="str">
        <v>군인 10매</v>
      </c>
      <c r="F3" t="str">
        <v>귀마개 본품</v>
      </c>
      <c r="J3" t="str">
        <v>깔창형발난로(남성용) 10팩</v>
      </c>
      <c r="N3" t="str">
        <v>깔창형발난로(여성용) 10팩</v>
      </c>
      <c r="R3" t="str">
        <v>대용량 10매</v>
      </c>
      <c r="V3" t="str">
        <v>박상병 10매</v>
      </c>
      <c r="Z3" t="str">
        <v>박상병 30매</v>
      </c>
      <c r="AD3" t="str">
        <v>박상병 40매</v>
      </c>
      <c r="AH3" t="str">
        <v>박일병 10매</v>
      </c>
      <c r="AL3" t="str">
        <v>발가락 10매</v>
      </c>
      <c r="AP3" t="str">
        <v>발난로 30매</v>
      </c>
      <c r="AT3" t="str">
        <v>불가마목도리온팩 10매</v>
      </c>
      <c r="AX3" t="str">
        <v>불가마붙이는 20매</v>
      </c>
      <c r="BB3" t="str">
        <v>손난로10매</v>
      </c>
      <c r="BF3" t="str">
        <v>하루온팩 100매</v>
      </c>
      <c r="BJ3" t="str">
        <v>하루온팩 10매</v>
      </c>
    </row>
    <row r="4">
      <c r="B4" t="str">
        <v>판매량(매)</v>
      </c>
      <c r="C4" t="str">
        <v>판매액(원)</v>
      </c>
      <c r="D4" t="str">
        <v>납품량(매)</v>
      </c>
      <c r="E4" t="str">
        <v>납품액(원)</v>
      </c>
      <c r="F4" t="str">
        <v>판매량(매)</v>
      </c>
      <c r="G4" t="str">
        <v>판매액(원)</v>
      </c>
      <c r="H4" t="str">
        <v>납품량(매)</v>
      </c>
      <c r="I4" t="str">
        <v>납품액(원)</v>
      </c>
      <c r="J4" t="str">
        <v>판매량(매)</v>
      </c>
      <c r="K4" t="str">
        <v>판매액(원)</v>
      </c>
      <c r="L4" t="str">
        <v>납품량(매)</v>
      </c>
      <c r="M4" t="str">
        <v>납품액(원)</v>
      </c>
      <c r="N4" t="str">
        <v>판매량(매)</v>
      </c>
      <c r="O4" t="str">
        <v>판매액(원)</v>
      </c>
      <c r="P4" t="str">
        <v>납품량(매)</v>
      </c>
      <c r="Q4" t="str">
        <v>납품액(원)</v>
      </c>
      <c r="R4" t="str">
        <v>판매량(매)</v>
      </c>
      <c r="S4" t="str">
        <v>판매액(원)</v>
      </c>
      <c r="T4" t="str">
        <v>납품량(매)</v>
      </c>
      <c r="U4" t="str">
        <v>납품액(원)</v>
      </c>
      <c r="V4" t="str">
        <v>판매량(매)</v>
      </c>
      <c r="W4" t="str">
        <v>판매액(원)</v>
      </c>
      <c r="X4" t="str">
        <v>납품량(매)</v>
      </c>
      <c r="Y4" t="str">
        <v>납품액(원)</v>
      </c>
      <c r="Z4" t="str">
        <v>판매량(매)</v>
      </c>
      <c r="AA4" t="str">
        <v>판매액(원)</v>
      </c>
      <c r="AB4" t="str">
        <v>납품량(매)</v>
      </c>
      <c r="AC4" t="str">
        <v>납품액(원)</v>
      </c>
      <c r="AD4" t="str">
        <v>판매량(매)</v>
      </c>
      <c r="AE4" t="str">
        <v>판매액(원)</v>
      </c>
      <c r="AF4" t="str">
        <v>납품량(매)</v>
      </c>
      <c r="AG4" t="str">
        <v>납품액(원)</v>
      </c>
      <c r="AH4" t="str">
        <v>판매량(매)</v>
      </c>
      <c r="AI4" t="str">
        <v>판매액(원)</v>
      </c>
      <c r="AJ4" t="str">
        <v>납품량(매)</v>
      </c>
      <c r="AK4" t="str">
        <v>납품액(원)</v>
      </c>
      <c r="AL4" t="str">
        <v>판매량(매)</v>
      </c>
      <c r="AM4" t="str">
        <v>판매액(원)</v>
      </c>
      <c r="AN4" t="str">
        <v>납품량(매)</v>
      </c>
      <c r="AO4" t="str">
        <v>납품액(원)</v>
      </c>
      <c r="AP4" t="str">
        <v>판매량(매)</v>
      </c>
      <c r="AQ4" t="str">
        <v>판매액(원)</v>
      </c>
      <c r="AR4" t="str">
        <v>납품량(매)</v>
      </c>
      <c r="AS4" t="str">
        <v>납품액(원)</v>
      </c>
      <c r="AT4" t="str">
        <v>판매량(매)</v>
      </c>
      <c r="AU4" t="str">
        <v>판매액(원)</v>
      </c>
      <c r="AV4" t="str">
        <v>납품량(매)</v>
      </c>
      <c r="AW4" t="str">
        <v>납품액(원)</v>
      </c>
      <c r="AX4" t="str">
        <v>판매량(매)</v>
      </c>
      <c r="AY4" t="str">
        <v>판매액(원)</v>
      </c>
      <c r="AZ4" t="str">
        <v>납품량(매)</v>
      </c>
      <c r="BA4" t="str">
        <v>납품액(원)</v>
      </c>
      <c r="BB4" t="str">
        <v>판매량(매)</v>
      </c>
      <c r="BC4" t="str">
        <v>판매액(원)</v>
      </c>
      <c r="BD4" t="str">
        <v>납품량(매)</v>
      </c>
      <c r="BE4" t="str">
        <v>납품액(원)</v>
      </c>
      <c r="BF4" t="str">
        <v>판매량(매)</v>
      </c>
      <c r="BG4" t="str">
        <v>판매액(원)</v>
      </c>
      <c r="BH4" t="str">
        <v>납품량(매)</v>
      </c>
      <c r="BI4" t="str">
        <v>납품액(원)</v>
      </c>
      <c r="BJ4" t="str">
        <v>판매량(매)</v>
      </c>
      <c r="BK4" t="str">
        <v>판매액(원)</v>
      </c>
      <c r="BL4" t="str">
        <v>납품량(매)</v>
      </c>
      <c r="BM4" t="str">
        <v>납품액(원)</v>
      </c>
    </row>
    <row r="5">
      <c r="A5" t="str">
        <v>2025-10</v>
      </c>
      <c r="B5">
        <v>26331</v>
      </c>
      <c r="C5">
        <v>7464839</v>
      </c>
      <c r="D5">
        <v>29160</v>
      </c>
      <c r="E5">
        <v>8266860</v>
      </c>
      <c r="F5">
        <v>132</v>
      </c>
      <c r="G5">
        <v>0</v>
      </c>
      <c r="H5">
        <v>0</v>
      </c>
      <c r="I5">
        <v>0</v>
      </c>
      <c r="J5">
        <v>11</v>
      </c>
      <c r="K5">
        <v>5940</v>
      </c>
      <c r="L5">
        <v>0</v>
      </c>
      <c r="M5">
        <v>0</v>
      </c>
      <c r="N5">
        <v>26</v>
      </c>
      <c r="O5">
        <v>14040</v>
      </c>
      <c r="P5">
        <v>0</v>
      </c>
      <c r="Q5">
        <v>0</v>
      </c>
      <c r="R5">
        <v>1748</v>
      </c>
      <c r="S5">
        <v>655326</v>
      </c>
      <c r="T5">
        <v>2840</v>
      </c>
      <c r="U5">
        <v>1064716</v>
      </c>
      <c r="V5">
        <v>1343</v>
      </c>
      <c r="W5">
        <v>549960</v>
      </c>
      <c r="X5">
        <v>17152</v>
      </c>
      <c r="Y5">
        <v>7023744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2458</v>
      </c>
      <c r="AI5">
        <v>650387</v>
      </c>
      <c r="AJ5">
        <v>44592</v>
      </c>
      <c r="AK5">
        <v>11799044</v>
      </c>
      <c r="AL5">
        <v>897</v>
      </c>
      <c r="AM5">
        <v>225147</v>
      </c>
      <c r="AN5">
        <v>0</v>
      </c>
      <c r="AO5">
        <v>0</v>
      </c>
      <c r="AP5">
        <v>653</v>
      </c>
      <c r="AQ5">
        <v>133865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646</v>
      </c>
      <c r="AY5">
        <v>97288</v>
      </c>
      <c r="AZ5">
        <v>16815</v>
      </c>
      <c r="BA5">
        <v>2532339</v>
      </c>
      <c r="BB5">
        <v>0</v>
      </c>
      <c r="BC5">
        <v>0</v>
      </c>
      <c r="BD5">
        <v>1800</v>
      </c>
      <c r="BE5">
        <v>510300</v>
      </c>
      <c r="BF5">
        <v>2162</v>
      </c>
      <c r="BG5">
        <v>510773</v>
      </c>
      <c r="BH5">
        <v>2608</v>
      </c>
      <c r="BI5">
        <v>616140</v>
      </c>
      <c r="BJ5">
        <v>23634</v>
      </c>
      <c r="BK5">
        <v>6700239</v>
      </c>
      <c r="BL5">
        <v>129528</v>
      </c>
      <c r="BM5">
        <v>36721188</v>
      </c>
    </row>
    <row r="6">
      <c r="A6" t="str">
        <v>2025-11</v>
      </c>
      <c r="B6">
        <v>136771</v>
      </c>
      <c r="C6">
        <v>38774579</v>
      </c>
      <c r="D6">
        <v>141345</v>
      </c>
      <c r="E6">
        <v>40071308</v>
      </c>
      <c r="F6">
        <v>661</v>
      </c>
      <c r="G6">
        <v>0</v>
      </c>
      <c r="H6">
        <v>576</v>
      </c>
      <c r="I6">
        <v>0</v>
      </c>
      <c r="J6">
        <v>14</v>
      </c>
      <c r="K6">
        <v>7560</v>
      </c>
      <c r="L6">
        <v>0</v>
      </c>
      <c r="M6">
        <v>0</v>
      </c>
      <c r="N6">
        <v>166</v>
      </c>
      <c r="O6">
        <v>89640</v>
      </c>
      <c r="P6">
        <v>600</v>
      </c>
      <c r="Q6">
        <v>324000</v>
      </c>
      <c r="R6">
        <v>10333</v>
      </c>
      <c r="S6">
        <v>3873841</v>
      </c>
      <c r="T6">
        <v>14530</v>
      </c>
      <c r="U6">
        <v>5447297</v>
      </c>
      <c r="V6">
        <v>5818</v>
      </c>
      <c r="W6">
        <v>2382473</v>
      </c>
      <c r="X6">
        <v>68720</v>
      </c>
      <c r="Y6">
        <v>28140840</v>
      </c>
      <c r="Z6">
        <v>2058</v>
      </c>
      <c r="AA6">
        <v>790272</v>
      </c>
      <c r="AB6">
        <v>2040</v>
      </c>
      <c r="AC6">
        <v>783360</v>
      </c>
      <c r="AD6">
        <v>385</v>
      </c>
      <c r="AE6">
        <v>143220</v>
      </c>
      <c r="AF6">
        <v>384</v>
      </c>
      <c r="AG6">
        <v>142848</v>
      </c>
      <c r="AH6">
        <v>39460</v>
      </c>
      <c r="AI6">
        <v>10441120</v>
      </c>
      <c r="AJ6">
        <v>64880</v>
      </c>
      <c r="AK6">
        <v>17167248</v>
      </c>
      <c r="AL6">
        <v>1800</v>
      </c>
      <c r="AM6">
        <v>451800</v>
      </c>
      <c r="AN6">
        <v>1200</v>
      </c>
      <c r="AO6">
        <v>301200</v>
      </c>
      <c r="AP6">
        <v>2538</v>
      </c>
      <c r="AQ6">
        <v>520290</v>
      </c>
      <c r="AR6">
        <v>1920</v>
      </c>
      <c r="AS6">
        <v>393600</v>
      </c>
      <c r="AT6">
        <v>28</v>
      </c>
      <c r="AU6">
        <v>0</v>
      </c>
      <c r="AV6">
        <v>82</v>
      </c>
      <c r="AW6">
        <v>0</v>
      </c>
      <c r="AX6">
        <v>1789</v>
      </c>
      <c r="AY6">
        <v>269424</v>
      </c>
      <c r="AZ6">
        <v>24000</v>
      </c>
      <c r="BA6">
        <v>3614400</v>
      </c>
      <c r="BB6">
        <v>495</v>
      </c>
      <c r="BC6">
        <v>140335</v>
      </c>
      <c r="BD6">
        <v>0</v>
      </c>
      <c r="BE6">
        <v>0</v>
      </c>
      <c r="BF6">
        <v>5452</v>
      </c>
      <c r="BG6">
        <v>1288035</v>
      </c>
      <c r="BH6">
        <v>10000</v>
      </c>
      <c r="BI6">
        <v>2362500</v>
      </c>
      <c r="BJ6">
        <v>84178</v>
      </c>
      <c r="BK6">
        <v>23864465</v>
      </c>
      <c r="BL6">
        <v>95400</v>
      </c>
      <c r="BM6">
        <v>27045900</v>
      </c>
    </row>
    <row r="7">
      <c r="A7" t="str">
        <v>2025-12</v>
      </c>
      <c r="B7">
        <v>304548</v>
      </c>
      <c r="C7">
        <v>86339356</v>
      </c>
      <c r="D7">
        <v>332976</v>
      </c>
      <c r="E7">
        <v>94398696</v>
      </c>
      <c r="F7">
        <v>536</v>
      </c>
      <c r="G7">
        <v>0</v>
      </c>
      <c r="H7">
        <v>576</v>
      </c>
      <c r="I7">
        <v>0</v>
      </c>
      <c r="J7">
        <v>152</v>
      </c>
      <c r="K7">
        <v>82080</v>
      </c>
      <c r="L7">
        <v>0</v>
      </c>
      <c r="M7">
        <v>0</v>
      </c>
      <c r="N7">
        <v>656</v>
      </c>
      <c r="O7">
        <v>354240</v>
      </c>
      <c r="P7">
        <v>600</v>
      </c>
      <c r="Q7">
        <v>324000</v>
      </c>
      <c r="R7">
        <v>12064</v>
      </c>
      <c r="S7">
        <v>4522794</v>
      </c>
      <c r="T7">
        <v>7600</v>
      </c>
      <c r="U7">
        <v>2849240</v>
      </c>
      <c r="V7">
        <v>33630</v>
      </c>
      <c r="W7">
        <v>13771485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88562</v>
      </c>
      <c r="AI7">
        <v>23433504</v>
      </c>
      <c r="AJ7">
        <v>34255</v>
      </c>
      <c r="AK7">
        <v>9063873</v>
      </c>
      <c r="AL7">
        <v>3106</v>
      </c>
      <c r="AM7">
        <v>779606</v>
      </c>
      <c r="AN7">
        <v>2440</v>
      </c>
      <c r="AO7">
        <v>612440</v>
      </c>
      <c r="AP7">
        <v>2983</v>
      </c>
      <c r="AQ7">
        <v>611515</v>
      </c>
      <c r="AR7">
        <v>2880</v>
      </c>
      <c r="AS7">
        <v>590400</v>
      </c>
      <c r="AT7">
        <v>228</v>
      </c>
      <c r="AU7">
        <v>0</v>
      </c>
      <c r="AV7">
        <v>320</v>
      </c>
      <c r="AW7">
        <v>0</v>
      </c>
      <c r="AX7">
        <v>8227</v>
      </c>
      <c r="AY7">
        <v>1238984</v>
      </c>
      <c r="AZ7">
        <v>0</v>
      </c>
      <c r="BA7">
        <v>0</v>
      </c>
      <c r="BB7">
        <v>5264</v>
      </c>
      <c r="BC7">
        <v>1492343</v>
      </c>
      <c r="BD7">
        <v>0</v>
      </c>
      <c r="BE7">
        <v>0</v>
      </c>
      <c r="BF7">
        <v>3892</v>
      </c>
      <c r="BG7">
        <v>919485</v>
      </c>
      <c r="BH7">
        <v>0</v>
      </c>
      <c r="BI7">
        <v>0</v>
      </c>
      <c r="BJ7">
        <v>111802</v>
      </c>
      <c r="BK7">
        <v>31695868</v>
      </c>
      <c r="BL7">
        <v>172800</v>
      </c>
      <c r="BM7">
        <v>48988800</v>
      </c>
    </row>
    <row r="8">
      <c r="A8" t="str">
        <v>2026-01</v>
      </c>
      <c r="B8">
        <v>196329</v>
      </c>
      <c r="C8">
        <v>55659271</v>
      </c>
      <c r="D8">
        <v>140432</v>
      </c>
      <c r="E8">
        <v>39812472</v>
      </c>
      <c r="F8">
        <v>226</v>
      </c>
      <c r="G8">
        <v>0</v>
      </c>
      <c r="H8">
        <v>162</v>
      </c>
      <c r="I8">
        <v>0</v>
      </c>
      <c r="J8">
        <v>836</v>
      </c>
      <c r="K8">
        <v>451440</v>
      </c>
      <c r="L8">
        <v>0</v>
      </c>
      <c r="M8">
        <v>0</v>
      </c>
      <c r="N8">
        <v>473</v>
      </c>
      <c r="O8">
        <v>255420</v>
      </c>
      <c r="P8">
        <v>0</v>
      </c>
      <c r="Q8">
        <v>0</v>
      </c>
      <c r="R8">
        <v>7403</v>
      </c>
      <c r="S8">
        <v>2775385</v>
      </c>
      <c r="T8">
        <v>0</v>
      </c>
      <c r="U8">
        <v>0</v>
      </c>
      <c r="V8">
        <v>76461</v>
      </c>
      <c r="W8">
        <v>31310781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15907</v>
      </c>
      <c r="AI8">
        <v>4208994</v>
      </c>
      <c r="AJ8">
        <v>516</v>
      </c>
      <c r="AK8">
        <v>136534</v>
      </c>
      <c r="AL8">
        <v>710</v>
      </c>
      <c r="AM8">
        <v>178210</v>
      </c>
      <c r="AN8">
        <v>600</v>
      </c>
      <c r="AO8">
        <v>150600</v>
      </c>
      <c r="AP8">
        <v>2427</v>
      </c>
      <c r="AQ8">
        <v>497535</v>
      </c>
      <c r="AR8">
        <v>0</v>
      </c>
      <c r="AS8">
        <v>0</v>
      </c>
      <c r="AT8">
        <v>302</v>
      </c>
      <c r="AU8">
        <v>0</v>
      </c>
      <c r="AV8">
        <v>320</v>
      </c>
      <c r="AW8">
        <v>0</v>
      </c>
      <c r="AX8">
        <v>27653</v>
      </c>
      <c r="AY8">
        <v>4164539</v>
      </c>
      <c r="AZ8">
        <v>0</v>
      </c>
      <c r="BA8">
        <v>0</v>
      </c>
      <c r="BB8">
        <v>7396</v>
      </c>
      <c r="BC8">
        <v>2096764</v>
      </c>
      <c r="BD8">
        <v>0</v>
      </c>
      <c r="BE8">
        <v>0</v>
      </c>
      <c r="BF8">
        <v>1990</v>
      </c>
      <c r="BG8">
        <v>470135</v>
      </c>
      <c r="BH8">
        <v>0</v>
      </c>
      <c r="BI8">
        <v>0</v>
      </c>
      <c r="BJ8">
        <v>135807</v>
      </c>
      <c r="BK8">
        <v>38501285</v>
      </c>
      <c r="BL8">
        <v>0</v>
      </c>
      <c r="BM8">
        <v>0</v>
      </c>
    </row>
    <row r="9">
      <c r="A9" t="str">
        <v>2026-02</v>
      </c>
      <c r="B9">
        <v>23553</v>
      </c>
      <c r="C9">
        <v>6677277</v>
      </c>
      <c r="D9">
        <v>9996</v>
      </c>
      <c r="E9">
        <v>2833866</v>
      </c>
      <c r="F9">
        <v>0</v>
      </c>
      <c r="G9">
        <v>0</v>
      </c>
      <c r="H9">
        <v>0</v>
      </c>
      <c r="I9">
        <v>0</v>
      </c>
      <c r="J9">
        <v>214</v>
      </c>
      <c r="K9">
        <v>115560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21341</v>
      </c>
      <c r="W9">
        <v>8739143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119</v>
      </c>
      <c r="AU9">
        <v>0</v>
      </c>
      <c r="AV9">
        <v>160</v>
      </c>
      <c r="AW9">
        <v>0</v>
      </c>
      <c r="AX9">
        <v>6902</v>
      </c>
      <c r="AY9">
        <v>1039439</v>
      </c>
      <c r="AZ9">
        <v>0</v>
      </c>
      <c r="BA9">
        <v>0</v>
      </c>
      <c r="BB9">
        <v>942</v>
      </c>
      <c r="BC9">
        <v>267059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47563</v>
      </c>
      <c r="BK9">
        <v>13484113</v>
      </c>
      <c r="BL9">
        <v>0</v>
      </c>
      <c r="BM9">
        <v>0</v>
      </c>
    </row>
    <row r="10">
      <c r="A10" t="str">
        <v>2026-03</v>
      </c>
      <c r="B10">
        <v>4966</v>
      </c>
      <c r="C10">
        <v>1407859</v>
      </c>
      <c r="D10">
        <v>3106</v>
      </c>
      <c r="E10">
        <v>880551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45</v>
      </c>
      <c r="AU10">
        <v>0</v>
      </c>
      <c r="AV10">
        <v>0</v>
      </c>
      <c r="AW10">
        <v>0</v>
      </c>
      <c r="AX10">
        <v>2870</v>
      </c>
      <c r="AY10">
        <v>432223</v>
      </c>
      <c r="AZ10">
        <v>0</v>
      </c>
      <c r="BA10">
        <v>0</v>
      </c>
      <c r="BB10">
        <v>151</v>
      </c>
      <c r="BC10">
        <v>42811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24582</v>
      </c>
      <c r="BK10">
        <v>6968994</v>
      </c>
      <c r="BL10">
        <v>0</v>
      </c>
      <c r="BM10">
        <v>0</v>
      </c>
    </row>
    <row r="11">
      <c r="A11" t="str">
        <v>합  계</v>
      </c>
      <c r="B11">
        <f>SUM(B5:B10)</f>
        <v>692498</v>
      </c>
      <c r="C11">
        <f>SUM(C5:C10)</f>
        <v>196323181</v>
      </c>
      <c r="D11">
        <f>SUM(D5:D10)</f>
        <v>657015</v>
      </c>
      <c r="E11">
        <f>SUM(E5:E10)</f>
        <v>186263753</v>
      </c>
      <c r="F11">
        <f>SUM(F5:F10)</f>
        <v>1555</v>
      </c>
      <c r="G11">
        <f>SUM(G5:G10)</f>
        <v>0</v>
      </c>
      <c r="H11">
        <f>SUM(H5:H10)</f>
        <v>1314</v>
      </c>
      <c r="I11">
        <f>SUM(I5:I10)</f>
        <v>0</v>
      </c>
      <c r="J11">
        <f>SUM(J5:J10)</f>
        <v>1227</v>
      </c>
      <c r="K11">
        <f>SUM(K5:K10)</f>
        <v>662580</v>
      </c>
      <c r="L11">
        <f>SUM(L5:L10)</f>
        <v>0</v>
      </c>
      <c r="M11">
        <f>SUM(M5:M10)</f>
        <v>0</v>
      </c>
      <c r="N11">
        <f>SUM(N5:N10)</f>
        <v>1321</v>
      </c>
      <c r="O11">
        <f>SUM(O5:O10)</f>
        <v>713340</v>
      </c>
      <c r="P11">
        <f>SUM(P5:P10)</f>
        <v>1200</v>
      </c>
      <c r="Q11">
        <f>SUM(Q5:Q10)</f>
        <v>648000</v>
      </c>
      <c r="R11">
        <f>SUM(R5:R10)</f>
        <v>31548</v>
      </c>
      <c r="S11">
        <f>SUM(S5:S10)</f>
        <v>11827346</v>
      </c>
      <c r="T11">
        <f>SUM(T5:T10)</f>
        <v>24970</v>
      </c>
      <c r="U11">
        <f>SUM(U5:U10)</f>
        <v>9361253</v>
      </c>
      <c r="V11">
        <f>SUM(V5:V10)</f>
        <v>138593</v>
      </c>
      <c r="W11">
        <f>SUM(W5:W10)</f>
        <v>56753842</v>
      </c>
      <c r="X11">
        <f>SUM(X5:X10)</f>
        <v>85872</v>
      </c>
      <c r="Y11">
        <f>SUM(Y5:Y10)</f>
        <v>35164584</v>
      </c>
      <c r="Z11">
        <f>SUM(Z5:Z10)</f>
        <v>2058</v>
      </c>
      <c r="AA11">
        <f>SUM(AA5:AA10)</f>
        <v>790272</v>
      </c>
      <c r="AB11">
        <f>SUM(AB5:AB10)</f>
        <v>2040</v>
      </c>
      <c r="AC11">
        <f>SUM(AC5:AC10)</f>
        <v>783360</v>
      </c>
      <c r="AD11">
        <f>SUM(AD5:AD10)</f>
        <v>385</v>
      </c>
      <c r="AE11">
        <f>SUM(AE5:AE10)</f>
        <v>143220</v>
      </c>
      <c r="AF11">
        <f>SUM(AF5:AF10)</f>
        <v>384</v>
      </c>
      <c r="AG11">
        <f>SUM(AG5:AG10)</f>
        <v>142848</v>
      </c>
      <c r="AH11">
        <f>SUM(AH5:AH10)</f>
        <v>146387</v>
      </c>
      <c r="AI11">
        <f>SUM(AI5:AI10)</f>
        <v>38734005</v>
      </c>
      <c r="AJ11">
        <f>SUM(AJ5:AJ10)</f>
        <v>144243</v>
      </c>
      <c r="AK11">
        <f>SUM(AK5:AK10)</f>
        <v>38166699</v>
      </c>
      <c r="AL11">
        <f>SUM(AL5:AL10)</f>
        <v>6513</v>
      </c>
      <c r="AM11">
        <f>SUM(AM5:AM10)</f>
        <v>1634763</v>
      </c>
      <c r="AN11">
        <f>SUM(AN5:AN10)</f>
        <v>4240</v>
      </c>
      <c r="AO11">
        <f>SUM(AO5:AO10)</f>
        <v>1064240</v>
      </c>
      <c r="AP11">
        <f>SUM(AP5:AP10)</f>
        <v>8601</v>
      </c>
      <c r="AQ11">
        <f>SUM(AQ5:AQ10)</f>
        <v>1763205</v>
      </c>
      <c r="AR11">
        <f>SUM(AR5:AR10)</f>
        <v>4800</v>
      </c>
      <c r="AS11">
        <f>SUM(AS5:AS10)</f>
        <v>984000</v>
      </c>
      <c r="AT11">
        <f>SUM(AT5:AT10)</f>
        <v>722</v>
      </c>
      <c r="AU11">
        <f>SUM(AU5:AU10)</f>
        <v>0</v>
      </c>
      <c r="AV11">
        <f>SUM(AV5:AV10)</f>
        <v>882</v>
      </c>
      <c r="AW11">
        <f>SUM(AW5:AW10)</f>
        <v>0</v>
      </c>
      <c r="AX11">
        <f>SUM(AX5:AX10)</f>
        <v>48087</v>
      </c>
      <c r="AY11">
        <f>SUM(AY5:AY10)</f>
        <v>7241897</v>
      </c>
      <c r="AZ11">
        <f>SUM(AZ5:AZ10)</f>
        <v>40815</v>
      </c>
      <c r="BA11">
        <f>SUM(BA5:BA10)</f>
        <v>6146739</v>
      </c>
      <c r="BB11">
        <f>SUM(BB5:BB10)</f>
        <v>14248</v>
      </c>
      <c r="BC11">
        <f>SUM(BC5:BC10)</f>
        <v>4039312</v>
      </c>
      <c r="BD11">
        <f>SUM(BD5:BD10)</f>
        <v>1800</v>
      </c>
      <c r="BE11">
        <f>SUM(BE5:BE10)</f>
        <v>510300</v>
      </c>
      <c r="BF11">
        <f>SUM(BF5:BF10)</f>
        <v>13496</v>
      </c>
      <c r="BG11">
        <f>SUM(BG5:BG10)</f>
        <v>3188428</v>
      </c>
      <c r="BH11">
        <f>SUM(BH5:BH10)</f>
        <v>12608</v>
      </c>
      <c r="BI11">
        <f>SUM(BI5:BI10)</f>
        <v>2978640</v>
      </c>
      <c r="BJ11">
        <f>SUM(BJ5:BJ10)</f>
        <v>427566</v>
      </c>
      <c r="BK11">
        <f>SUM(BK5:BK10)</f>
        <v>121214964</v>
      </c>
      <c r="BL11">
        <f>SUM(BL5:BL10)</f>
        <v>397728</v>
      </c>
      <c r="BM11">
        <f>SUM(BM5:BM10)</f>
        <v>112755888</v>
      </c>
    </row>
  </sheetData>
  <mergeCells count="19">
    <mergeCell ref="A1:BM1"/>
    <mergeCell ref="F3:I3"/>
    <mergeCell ref="AT3:AW3"/>
    <mergeCell ref="N3:Q3"/>
    <mergeCell ref="BF3:BI3"/>
    <mergeCell ref="Z3:AC3"/>
    <mergeCell ref="AL3:AO3"/>
    <mergeCell ref="A2:BM2"/>
    <mergeCell ref="A3:A4"/>
    <mergeCell ref="AD3:AG3"/>
    <mergeCell ref="AH3:AK3"/>
    <mergeCell ref="B3:E3"/>
    <mergeCell ref="AP3:AS3"/>
    <mergeCell ref="R3:U3"/>
    <mergeCell ref="J3:M3"/>
    <mergeCell ref="AX3:BA3"/>
    <mergeCell ref="BJ3:BM3"/>
    <mergeCell ref="V3:Y3"/>
    <mergeCell ref="BB3:BE3"/>
  </mergeCells>
  <pageMargins left="0.75" right="0.75" top="1" bottom="1" header="0.5" footer="0.5"/>
  <ignoredErrors>
    <ignoredError numberStoredAsText="1" sqref="A1:BM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 rightToLeft="0"/>
  </sheetViews>
  <sheetData>
    <row r="1">
      <c r="A1" t="str">
        <v>쿠팡 광고비등 비용현황</v>
      </c>
    </row>
    <row r="3">
      <c r="A3" t="str">
        <v>년월</v>
      </c>
      <c r="B3" t="str">
        <v>쿠폰(즉시할인)</v>
      </c>
      <c r="C3" t="str">
        <v>광고비</v>
      </c>
      <c r="D3" t="str">
        <v>밀크런</v>
      </c>
      <c r="E3" t="str">
        <v>프리미엄데이터</v>
      </c>
      <c r="F3" t="str">
        <v>계</v>
      </c>
    </row>
    <row r="4">
      <c r="A4" t="str">
        <v>24년 09월</v>
      </c>
      <c r="C4">
        <v>5974711</v>
      </c>
      <c r="D4">
        <v>15623300</v>
      </c>
      <c r="E4">
        <f>774194*1.1</f>
        <v>851613.4</v>
      </c>
      <c r="F4">
        <f>SUM(B4:E4)</f>
        <v>22449624.4</v>
      </c>
    </row>
    <row r="5">
      <c r="A5" t="str">
        <v>24년 10월</v>
      </c>
      <c r="B5">
        <v>1644412</v>
      </c>
      <c r="C5">
        <v>22000000</v>
      </c>
      <c r="D5">
        <v>7177170</v>
      </c>
      <c r="E5">
        <v>1650000</v>
      </c>
      <c r="F5">
        <f>SUM(B5:E5)</f>
        <v>32471582</v>
      </c>
    </row>
    <row r="6">
      <c r="A6" t="str">
        <v>24년 11월</v>
      </c>
      <c r="B6">
        <v>16060110</v>
      </c>
      <c r="C6">
        <f>54500000*1.1</f>
        <v>59950000.00000001</v>
      </c>
      <c r="D6">
        <v>23714075</v>
      </c>
      <c r="E6">
        <v>1650000</v>
      </c>
      <c r="F6">
        <f>SUM(B6:E6)</f>
        <v>101374185</v>
      </c>
    </row>
    <row r="7">
      <c r="A7" t="str">
        <v>24년 12월</v>
      </c>
      <c r="B7">
        <v>37876663</v>
      </c>
      <c r="C7">
        <f>95000000*1.1</f>
        <v>104500000.00000001</v>
      </c>
      <c r="D7">
        <v>5261850</v>
      </c>
      <c r="E7">
        <v>1650000</v>
      </c>
      <c r="F7">
        <f>SUM(B7:E7)</f>
        <v>149288513</v>
      </c>
    </row>
    <row r="8">
      <c r="A8" t="str">
        <v>25년 01월</v>
      </c>
      <c r="B8">
        <v>97889583</v>
      </c>
      <c r="C8">
        <v>5500000</v>
      </c>
      <c r="D8">
        <v>3797090</v>
      </c>
      <c r="E8">
        <v>1650000</v>
      </c>
      <c r="F8">
        <f>SUM(B8:E8)</f>
        <v>108836673</v>
      </c>
      <c r="G8" t="str">
        <v>25년시즌 매출</v>
      </c>
      <c r="H8" t="str">
        <v>비용률</v>
      </c>
    </row>
    <row r="9">
      <c r="A9" t="str">
        <v>25년 02월</v>
      </c>
      <c r="B9">
        <v>64497411</v>
      </c>
      <c r="D9">
        <v>1509530</v>
      </c>
      <c r="E9">
        <v>1650000</v>
      </c>
      <c r="F9">
        <f>SUM(B9:E9)</f>
        <v>67656941</v>
      </c>
      <c r="G9">
        <v>3394157021</v>
      </c>
      <c r="H9">
        <f>F11/G9</f>
        <v>0.14830687746193105</v>
      </c>
    </row>
    <row r="10">
      <c r="A10" t="str">
        <v>25년 03월</v>
      </c>
      <c r="B10">
        <v>19540411</v>
      </c>
      <c r="D10">
        <v>108900</v>
      </c>
      <c r="E10">
        <v>1650000</v>
      </c>
      <c r="F10">
        <f>SUM(B10:E10)</f>
        <v>21299311</v>
      </c>
      <c r="G10">
        <v>-160838686</v>
      </c>
      <c r="H10" t="str">
        <v>반품</v>
      </c>
    </row>
    <row r="11">
      <c r="A11" t="str">
        <v>24년시즌 합계</v>
      </c>
      <c r="B11">
        <f>SUM(B4:B10)</f>
        <v>237508590</v>
      </c>
      <c r="C11">
        <f>SUM(C4:C10)</f>
        <v>197924711</v>
      </c>
      <c r="D11">
        <f>SUM(D4:D10)</f>
        <v>57191915</v>
      </c>
      <c r="E11">
        <f>SUM(E4:E10)</f>
        <v>10751613.4</v>
      </c>
      <c r="F11">
        <f>SUM(F4:F10)</f>
        <v>503376829.4</v>
      </c>
      <c r="G11">
        <f>SUM(G9:G10)</f>
        <v>3233318335</v>
      </c>
      <c r="H11">
        <f>F11/G11</f>
        <v>0.15568427765093534</v>
      </c>
    </row>
    <row r="12">
      <c r="A12" t="str">
        <v>25년 09월</v>
      </c>
      <c r="B12">
        <v>2900040</v>
      </c>
      <c r="C12">
        <v>11353990</v>
      </c>
      <c r="D12">
        <v>3400870</v>
      </c>
      <c r="F12">
        <f>SUM(B12:E12)</f>
        <v>17654900</v>
      </c>
    </row>
    <row r="13">
      <c r="A13" t="str">
        <v>25년 10월</v>
      </c>
      <c r="B13">
        <v>15155503</v>
      </c>
      <c r="C13">
        <v>50050000</v>
      </c>
      <c r="D13">
        <v>19294655</v>
      </c>
      <c r="E13">
        <v>1170967</v>
      </c>
      <c r="F13">
        <f>SUM(B13:E13)</f>
        <v>85671125</v>
      </c>
    </row>
    <row r="14">
      <c r="A14" t="str">
        <v>25년 11월</v>
      </c>
      <c r="B14">
        <v>36344380</v>
      </c>
      <c r="C14">
        <v>93473400</v>
      </c>
      <c r="D14">
        <v>33966493</v>
      </c>
      <c r="E14">
        <v>1650000</v>
      </c>
      <c r="F14">
        <f>SUM(B14:E14)</f>
        <v>165434273</v>
      </c>
    </row>
    <row r="15">
      <c r="A15" t="str">
        <v>25년 12월</v>
      </c>
      <c r="B15">
        <v>113101445</v>
      </c>
      <c r="C15">
        <f>110000000+4226190+18668750</f>
        <v>132894940</v>
      </c>
      <c r="D15">
        <v>33981206</v>
      </c>
      <c r="E15">
        <v>1650000</v>
      </c>
      <c r="F15">
        <f>SUM(B15:E15)</f>
        <v>281627591</v>
      </c>
    </row>
    <row r="16">
      <c r="A16" t="str">
        <v>26년 01월</v>
      </c>
      <c r="B16">
        <v>178773620</v>
      </c>
      <c r="C16">
        <v>33000000</v>
      </c>
      <c r="D16">
        <v>11996688</v>
      </c>
      <c r="E16">
        <v>1650000</v>
      </c>
      <c r="F16">
        <f>SUM(B16:E16)</f>
        <v>225420308</v>
      </c>
      <c r="G16" t="str">
        <v>25년시즌 매출</v>
      </c>
      <c r="H16" t="str">
        <v>비용률</v>
      </c>
    </row>
    <row r="17">
      <c r="A17" t="str">
        <v>26년 02월</v>
      </c>
      <c r="B17">
        <v>14574428</v>
      </c>
      <c r="C17">
        <v>7663172</v>
      </c>
      <c r="D17">
        <v>745437</v>
      </c>
      <c r="E17">
        <v>1650000</v>
      </c>
      <c r="F17">
        <f>SUM(B17:E17)</f>
        <v>24633037</v>
      </c>
      <c r="G17">
        <v>5219780056</v>
      </c>
      <c r="H17">
        <f>F19/G17</f>
        <v>0.15366379912464265</v>
      </c>
    </row>
    <row r="18">
      <c r="A18" t="str">
        <v>26년 03월</v>
      </c>
      <c r="E18">
        <v>1650000</v>
      </c>
      <c r="F18">
        <f>SUM(B18:E18)</f>
        <v>1650000</v>
      </c>
      <c r="G18">
        <v>-300000000</v>
      </c>
      <c r="H18" t="str">
        <v>반품예상</v>
      </c>
    </row>
    <row r="19">
      <c r="A19" t="str">
        <v>25년시즌 합계</v>
      </c>
      <c r="B19">
        <f>SUM(B12:B18)</f>
        <v>360849416</v>
      </c>
      <c r="C19">
        <f>SUM(C12:C18)</f>
        <v>328435502</v>
      </c>
      <c r="D19">
        <f>SUM(D12:D18)</f>
        <v>103385349</v>
      </c>
      <c r="E19">
        <f>SUM(E12:E18)</f>
        <v>9420967</v>
      </c>
      <c r="F19">
        <f>SUM(F12:F18)</f>
        <v>802091234</v>
      </c>
      <c r="G19">
        <f>SUM(G17:G18)</f>
        <v>4919780056</v>
      </c>
      <c r="H19">
        <f>F19/G19</f>
        <v>0.1630339618580705</v>
      </c>
    </row>
    <row r="20">
      <c r="F20" t="str">
        <v>(부가세 포함)</v>
      </c>
    </row>
  </sheetData>
  <pageMargins left="0.8267716535433072" right="0.4330708661417323" top="0.7480314960629921" bottom="0.7480314960629921" header="0.31496062992125984" footer="0.31496062992125984"/>
  <ignoredErrors>
    <ignoredError numberStoredAsText="1" sqref="A1:J2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① 월별합계_Layer1</vt:lpstr>
      <vt:lpstr>② 24-25시즌_제품별</vt:lpstr>
      <vt:lpstr>③ 25-26시즌_제품별</vt:lpstr>
      <vt:lpstr>④ 교집합SKU_Layer2</vt:lpstr>
      <vt:lpstr>광고비등비용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2026-04-16T14:41:21Z</dcterms:created>
  <dcterms:modified xsi:type="dcterms:W3CDTF">2026-04-16T14:51:55Z</dcterms:modified>
  <cp:lastModifiedBy>user</cp:lastModifiedBy>
  <dc:creator>openpyxl</dc:creator>
</cp:coreProperties>
</file>