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최종프로젝트(지엘)\"/>
    </mc:Choice>
  </mc:AlternateContent>
  <xr:revisionPtr revIDLastSave="0" documentId="8_{E2998EA5-4BA6-41E6-98C9-92A7AC7B3644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구매현황" sheetId="1" r:id="rId1"/>
    <sheet name="판매현황" sheetId="2" r:id="rId2"/>
  </sheets>
  <definedNames>
    <definedName name="_xlnm._FilterDatabase" localSheetId="0" hidden="1">구매현황!$A$4:$L$87</definedName>
    <definedName name="_xlnm._FilterDatabase" localSheetId="1" hidden="1">판매현황!$A$4:$K$311</definedName>
  </definedNames>
  <calcPr calcId="191029"/>
</workbook>
</file>

<file path=xl/calcChain.xml><?xml version="1.0" encoding="utf-8"?>
<calcChain xmlns="http://schemas.openxmlformats.org/spreadsheetml/2006/main">
  <c r="H311" i="2" l="1"/>
  <c r="G311" i="2"/>
  <c r="F311" i="2"/>
  <c r="E311" i="2"/>
  <c r="D311" i="2"/>
  <c r="H297" i="2"/>
  <c r="G297" i="2"/>
  <c r="F297" i="2"/>
  <c r="E297" i="2"/>
  <c r="D297" i="2"/>
  <c r="H282" i="2"/>
  <c r="G282" i="2"/>
  <c r="F282" i="2"/>
  <c r="E282" i="2"/>
  <c r="D282" i="2"/>
  <c r="H216" i="2"/>
  <c r="G216" i="2"/>
  <c r="F216" i="2"/>
  <c r="E216" i="2"/>
  <c r="D216" i="2"/>
  <c r="H126" i="2"/>
  <c r="G126" i="2"/>
  <c r="F126" i="2"/>
  <c r="E126" i="2"/>
  <c r="D126" i="2"/>
  <c r="H48" i="2"/>
  <c r="G48" i="2"/>
  <c r="F48" i="2"/>
  <c r="E48" i="2"/>
  <c r="D48" i="2"/>
  <c r="H18" i="2"/>
  <c r="G18" i="2"/>
  <c r="F18" i="2"/>
  <c r="E18" i="2"/>
  <c r="D18" i="2"/>
  <c r="H10" i="2"/>
  <c r="G10" i="2"/>
  <c r="F10" i="2"/>
  <c r="E10" i="2"/>
  <c r="D10" i="2"/>
  <c r="H8" i="2"/>
  <c r="G8" i="2"/>
  <c r="F8" i="2"/>
  <c r="E8" i="2"/>
  <c r="D8" i="2"/>
  <c r="D87" i="1" l="1"/>
  <c r="D81" i="1"/>
  <c r="D76" i="1"/>
  <c r="D54" i="1"/>
  <c r="D33" i="1"/>
  <c r="D20" i="1"/>
  <c r="D14" i="1"/>
  <c r="D12" i="1"/>
</calcChain>
</file>

<file path=xl/sharedStrings.xml><?xml version="1.0" encoding="utf-8"?>
<sst xmlns="http://schemas.openxmlformats.org/spreadsheetml/2006/main" count="2050" uniqueCount="567">
  <si>
    <t>일자-No.</t>
  </si>
  <si>
    <t>품목코드</t>
  </si>
  <si>
    <t>품목명(규격)</t>
  </si>
  <si>
    <t>수량</t>
  </si>
  <si>
    <t>단가</t>
  </si>
  <si>
    <t>공급가액</t>
  </si>
  <si>
    <t>부가세</t>
  </si>
  <si>
    <t>합계</t>
  </si>
  <si>
    <t>거래처명</t>
  </si>
  <si>
    <t>적요</t>
  </si>
  <si>
    <t>회계반영일자</t>
  </si>
  <si>
    <t>2025/09/29 -1</t>
  </si>
  <si>
    <t>하루온군인핫팩(160g) [10매]</t>
  </si>
  <si>
    <t>2025/10/14 -1</t>
  </si>
  <si>
    <t>2025/10/16 -1</t>
  </si>
  <si>
    <t>불가마박일병대용량손난로150g [10매]</t>
  </si>
  <si>
    <t>2025/10/28 -1</t>
  </si>
  <si>
    <t>2025/11/06 -1</t>
  </si>
  <si>
    <t>2025/11/07 -1</t>
  </si>
  <si>
    <t>2025/11/12 -1</t>
  </si>
  <si>
    <t>2025/11/14 -1</t>
  </si>
  <si>
    <t>2025/11/22 -1</t>
  </si>
  <si>
    <t>2025/11/26 -1</t>
  </si>
  <si>
    <t>2025/11/29 -1</t>
  </si>
  <si>
    <t>2025/12/01 -1</t>
  </si>
  <si>
    <t>2025/12/03 -1</t>
  </si>
  <si>
    <t>2025/12/08 -1</t>
  </si>
  <si>
    <t>2025/12/09 -1</t>
  </si>
  <si>
    <t>2025/12/10 -1</t>
  </si>
  <si>
    <t>2025/12/16 -1</t>
  </si>
  <si>
    <t>2025/12/17 -1</t>
  </si>
  <si>
    <t>2025/12/18 -1</t>
  </si>
  <si>
    <t>2025/12/26 -1</t>
  </si>
  <si>
    <t>2025/12/29 -1</t>
  </si>
  <si>
    <t>2025/12/30 -1</t>
  </si>
  <si>
    <t>2025/12/31 -1</t>
  </si>
  <si>
    <t>2026/01/08 -1</t>
  </si>
  <si>
    <t>2026/02/09 -1</t>
  </si>
  <si>
    <t>2026/02/12 -1</t>
  </si>
  <si>
    <t>2026/02/20 -1</t>
  </si>
  <si>
    <t>2026/02  계</t>
  </si>
  <si>
    <t>불가마붙이는핫팩(중국) [10매]</t>
  </si>
  <si>
    <t>지엘팜</t>
  </si>
  <si>
    <t>GSHC16H</t>
    <phoneticPr fontId="1" type="noConversion"/>
  </si>
  <si>
    <t>GSBC15H</t>
  </si>
  <si>
    <t>GSBC5BW</t>
  </si>
  <si>
    <t>2025/09  계</t>
    <phoneticPr fontId="1" type="noConversion"/>
  </si>
  <si>
    <t>2025/01/02-1</t>
    <phoneticPr fontId="1" type="noConversion"/>
  </si>
  <si>
    <t>2025/01/08-1</t>
  </si>
  <si>
    <t>2025/01/08-1</t>
    <phoneticPr fontId="1" type="noConversion"/>
  </si>
  <si>
    <t>2025/01/15-1</t>
  </si>
  <si>
    <t>2025/01/20-1</t>
  </si>
  <si>
    <t>2025/01/31-2</t>
  </si>
  <si>
    <t>2025/03 계</t>
  </si>
  <si>
    <t>2025/03/11-2</t>
  </si>
  <si>
    <t>2025/09/10-1</t>
  </si>
  <si>
    <t>2025/09/30-2</t>
  </si>
  <si>
    <t>2025/10 계</t>
  </si>
  <si>
    <t>2025/10/13-2</t>
  </si>
  <si>
    <t>2025/10/15-1</t>
  </si>
  <si>
    <t>2025/10/17-1</t>
  </si>
  <si>
    <t>2025/10/29-1</t>
  </si>
  <si>
    <t>2025/11/08-2</t>
  </si>
  <si>
    <t>2025/11/11-1</t>
  </si>
  <si>
    <t>2025/11/21-2</t>
  </si>
  <si>
    <t>2025/11/24-1</t>
  </si>
  <si>
    <t>2025/11/26-2</t>
  </si>
  <si>
    <t>2025/12 계</t>
  </si>
  <si>
    <t>2025/12/10-2</t>
  </si>
  <si>
    <t>2025/12/10-3</t>
  </si>
  <si>
    <t>2025/12/17-1</t>
  </si>
  <si>
    <t>2025/12/19-1</t>
  </si>
  <si>
    <t>2025/12/30-1</t>
  </si>
  <si>
    <t>2026/01 계</t>
  </si>
  <si>
    <t>2026/01/05-1</t>
  </si>
  <si>
    <t>2026/01/08-1</t>
  </si>
  <si>
    <t>2026/02/10-1</t>
  </si>
  <si>
    <t>2025/01 계</t>
    <phoneticPr fontId="1" type="noConversion"/>
  </si>
  <si>
    <t>2025/11  계</t>
    <phoneticPr fontId="1" type="noConversion"/>
  </si>
  <si>
    <t>단가 (CNY)</t>
    <phoneticPr fontId="1" type="noConversion"/>
  </si>
  <si>
    <t>YIWU CO LTD</t>
    <phoneticPr fontId="1" type="noConversion"/>
  </si>
  <si>
    <t>WENZHOU CO LTD</t>
    <phoneticPr fontId="1" type="noConversion"/>
  </si>
  <si>
    <t>JIANGSU CO LTD</t>
    <phoneticPr fontId="1" type="noConversion"/>
  </si>
  <si>
    <t>비고</t>
    <phoneticPr fontId="1" type="noConversion"/>
  </si>
  <si>
    <t xml:space="preserve">회사명 : (주)지엘 / 하루온군인핫팩(160g) 외 6건 / 수입 / 2025/01/01  ~ 2026/04/05 </t>
    <phoneticPr fontId="1" type="noConversion"/>
  </si>
  <si>
    <t>월/일</t>
  </si>
  <si>
    <t>품명 및 규격</t>
  </si>
  <si>
    <t>합 계</t>
  </si>
  <si>
    <t>판매처명</t>
  </si>
  <si>
    <t>쿠팡(주)</t>
  </si>
  <si>
    <t>50매 / 이천1</t>
  </si>
  <si>
    <t>25/01/02</t>
  </si>
  <si>
    <t>100매 / 안성5</t>
  </si>
  <si>
    <t>25/01/25</t>
  </si>
  <si>
    <t>25/01/31</t>
  </si>
  <si>
    <t>20매 / 인천28</t>
  </si>
  <si>
    <t>25/09/02</t>
  </si>
  <si>
    <t>20매 / 동탄1</t>
  </si>
  <si>
    <t>25/09/10</t>
  </si>
  <si>
    <t>25/09/11</t>
  </si>
  <si>
    <t>10매 / 이천4</t>
  </si>
  <si>
    <t>25/09/13</t>
  </si>
  <si>
    <t>20매 / 이천4</t>
  </si>
  <si>
    <t>25/10/02</t>
  </si>
  <si>
    <t>20매 / 인천4</t>
  </si>
  <si>
    <t>25/10/01</t>
  </si>
  <si>
    <t>25/10/03</t>
  </si>
  <si>
    <t>25/10/04</t>
  </si>
  <si>
    <t>20매 / 고양1</t>
  </si>
  <si>
    <t>25/10/12</t>
  </si>
  <si>
    <t>10매 / 인천14</t>
  </si>
  <si>
    <t>20매 / 인천14</t>
  </si>
  <si>
    <t>(주)더나은</t>
  </si>
  <si>
    <t>샘플</t>
  </si>
  <si>
    <t>20매 / 이천2</t>
  </si>
  <si>
    <t>25/10/17</t>
  </si>
  <si>
    <t>25/10/20</t>
  </si>
  <si>
    <t>10매 / 시흥2</t>
  </si>
  <si>
    <t>20매 / 시흥2</t>
  </si>
  <si>
    <t>10매 / 인천28</t>
  </si>
  <si>
    <t>25/10/21</t>
  </si>
  <si>
    <t>25/10/22</t>
  </si>
  <si>
    <t>10매 / 전라광주2</t>
  </si>
  <si>
    <t>25/10/27</t>
  </si>
  <si>
    <t>25/10/28</t>
  </si>
  <si>
    <t>25/11/05</t>
  </si>
  <si>
    <t>10매 / 인천28(회송-제조일전산입력오류)</t>
  </si>
  <si>
    <t>홈쇼핑샘플</t>
  </si>
  <si>
    <t>10매 / XRC09</t>
  </si>
  <si>
    <t>25/11/01</t>
  </si>
  <si>
    <t>10매 / XRC11</t>
  </si>
  <si>
    <t>25/11/03</t>
  </si>
  <si>
    <t>10매 / 천안8</t>
  </si>
  <si>
    <t>20매 / XRC09</t>
  </si>
  <si>
    <t>20매 / XRC11</t>
  </si>
  <si>
    <t>25/11/04</t>
  </si>
  <si>
    <t>10매 / 인천4</t>
  </si>
  <si>
    <t>10매 / 창원3</t>
  </si>
  <si>
    <t>20매 / 창원3</t>
  </si>
  <si>
    <t>10매 / 동탄1</t>
  </si>
  <si>
    <t>10매 / 창원1</t>
  </si>
  <si>
    <t>25/11/08</t>
  </si>
  <si>
    <t>25/11/07</t>
  </si>
  <si>
    <t>10매 / 대구6</t>
  </si>
  <si>
    <t>10매 / 서울</t>
  </si>
  <si>
    <t>10매 / XRC13</t>
  </si>
  <si>
    <t>25/11/10</t>
  </si>
  <si>
    <t>10매 / XRC10</t>
  </si>
  <si>
    <t>10매 / XRC12</t>
  </si>
  <si>
    <t>10매 / 경기광주3</t>
  </si>
  <si>
    <t>10매 / 양산1</t>
  </si>
  <si>
    <t>10매 / 인천32</t>
  </si>
  <si>
    <t>25/11/11</t>
  </si>
  <si>
    <t>(주)우리홈쇼핑(롯데홈쇼핑)</t>
  </si>
  <si>
    <t>80매*129</t>
  </si>
  <si>
    <t>80매*3</t>
  </si>
  <si>
    <t>80매*9</t>
  </si>
  <si>
    <t>20매 / 천안8</t>
  </si>
  <si>
    <t>25/11/12</t>
  </si>
  <si>
    <t>80매*1</t>
  </si>
  <si>
    <t>25/11/14</t>
  </si>
  <si>
    <t>25/11/17</t>
  </si>
  <si>
    <t>25/11/19</t>
  </si>
  <si>
    <t>25/11/18</t>
  </si>
  <si>
    <t>10매 / 전라광주4</t>
  </si>
  <si>
    <t>25/11/20</t>
  </si>
  <si>
    <t>10매 / 이천2</t>
  </si>
  <si>
    <t>80매*107</t>
  </si>
  <si>
    <t>80매*8</t>
  </si>
  <si>
    <t>25/11/24</t>
  </si>
  <si>
    <t>25/11/23</t>
  </si>
  <si>
    <t>25/11/25</t>
  </si>
  <si>
    <t>25/11/26</t>
  </si>
  <si>
    <t>25/11/27</t>
  </si>
  <si>
    <t>코레일테크(주)</t>
  </si>
  <si>
    <t>80매*5</t>
  </si>
  <si>
    <t>반품/80매*1</t>
  </si>
  <si>
    <t>(주)원추글로벌</t>
  </si>
  <si>
    <t>용차/송도</t>
  </si>
  <si>
    <t>25/12/03</t>
  </si>
  <si>
    <t>택배/무주</t>
  </si>
  <si>
    <t>25/12/02</t>
  </si>
  <si>
    <t>10매 / 경기광주1</t>
  </si>
  <si>
    <t>현대홈쇼핑</t>
  </si>
  <si>
    <t>80매*94</t>
  </si>
  <si>
    <t>용차/진천</t>
  </si>
  <si>
    <t>용차/더골프울산</t>
  </si>
  <si>
    <t>용차/감포</t>
  </si>
  <si>
    <t>용차/청통</t>
  </si>
  <si>
    <t>용차/선산</t>
  </si>
  <si>
    <t>용차/구미</t>
  </si>
  <si>
    <t>용차/경남함안</t>
  </si>
  <si>
    <t>용차/드래곤남원</t>
  </si>
  <si>
    <t>택배/이글몬트 안성</t>
  </si>
  <si>
    <t>택배/화랑 진천</t>
  </si>
  <si>
    <t>택배/영암</t>
  </si>
  <si>
    <t>택배/선운고창</t>
  </si>
  <si>
    <t>택배/천안</t>
  </si>
  <si>
    <t>택배/오라 제주</t>
  </si>
  <si>
    <t>택배/사천</t>
  </si>
  <si>
    <t>25/12/04</t>
  </si>
  <si>
    <t>25/12/05</t>
  </si>
  <si>
    <t>80매*2</t>
  </si>
  <si>
    <t>80매*118</t>
  </si>
  <si>
    <t>80매*53</t>
  </si>
  <si>
    <t>25/12/10</t>
  </si>
  <si>
    <t>25/12/12</t>
  </si>
  <si>
    <t>25/12/11</t>
  </si>
  <si>
    <t>10매 / 대구7</t>
  </si>
  <si>
    <t>(주)이마트</t>
  </si>
  <si>
    <t>10매 / 인천33</t>
  </si>
  <si>
    <t>25/12/19</t>
  </si>
  <si>
    <t>10매 / 대구7(RC)</t>
  </si>
  <si>
    <t>25/12/17</t>
  </si>
  <si>
    <t>10매 / 안산3</t>
  </si>
  <si>
    <t>25/12/18</t>
  </si>
  <si>
    <t>25/12/20</t>
  </si>
  <si>
    <t>(주)샤론아이엔씨</t>
  </si>
  <si>
    <t>25/12/31</t>
  </si>
  <si>
    <t>수도권지사</t>
  </si>
  <si>
    <t>25/12/24</t>
  </si>
  <si>
    <t>25/12/22</t>
  </si>
  <si>
    <t>10매 / 창원4</t>
  </si>
  <si>
    <t>25/12/23</t>
  </si>
  <si>
    <t>(주)태광유통</t>
  </si>
  <si>
    <t>10매 / 인천4 (매입용)</t>
  </si>
  <si>
    <t>발해(주)</t>
  </si>
  <si>
    <t>26/01/02</t>
  </si>
  <si>
    <t>10매 / 대구2</t>
  </si>
  <si>
    <t>26/01/01</t>
  </si>
  <si>
    <t>12월 계산서마감</t>
  </si>
  <si>
    <t>80매*58</t>
  </si>
  <si>
    <t>(주)케이에스피</t>
  </si>
  <si>
    <t>방문수령</t>
  </si>
  <si>
    <t>80매*40</t>
  </si>
  <si>
    <t>26/01/06</t>
  </si>
  <si>
    <t>26/01/05</t>
  </si>
  <si>
    <t>26/01/31</t>
  </si>
  <si>
    <t>사천 / 택배</t>
  </si>
  <si>
    <t>80매*56</t>
  </si>
  <si>
    <t>마나술(주)</t>
  </si>
  <si>
    <t>26/01/07</t>
  </si>
  <si>
    <t>무주 / 택배</t>
  </si>
  <si>
    <t>10매 / MGMH5</t>
  </si>
  <si>
    <t>26/01/11</t>
  </si>
  <si>
    <t>10매 / 대구3</t>
  </si>
  <si>
    <t>26/01/12</t>
  </si>
  <si>
    <t>26/01/16</t>
  </si>
  <si>
    <t>26/01/17</t>
  </si>
  <si>
    <t>26/01/19</t>
  </si>
  <si>
    <t>26/01/21</t>
  </si>
  <si>
    <t>선산 / 택배</t>
  </si>
  <si>
    <t>구미 / 택배</t>
  </si>
  <si>
    <t>안성 / 용차</t>
  </si>
  <si>
    <t>26/01/23</t>
  </si>
  <si>
    <t>(주)하나은행신촌지점</t>
  </si>
  <si>
    <t>26/01/22</t>
  </si>
  <si>
    <t>26/01/20</t>
  </si>
  <si>
    <t>26/01/26</t>
  </si>
  <si>
    <t>26/01/27</t>
  </si>
  <si>
    <t>26/01/28</t>
  </si>
  <si>
    <t>26/01/29</t>
  </si>
  <si>
    <t>26/01/30</t>
  </si>
  <si>
    <t>1월 계산서마감</t>
  </si>
  <si>
    <t>26/02/20</t>
  </si>
  <si>
    <t>영암 / 택배</t>
  </si>
  <si>
    <t>26/02/27</t>
  </si>
  <si>
    <t>26/02/13</t>
  </si>
  <si>
    <t>26/02/12</t>
  </si>
  <si>
    <t>26/02/10</t>
  </si>
  <si>
    <t>경남 / 택배</t>
  </si>
  <si>
    <t>2월 계산서마감</t>
  </si>
  <si>
    <t>26/03/12</t>
  </si>
  <si>
    <t>26/03/13</t>
  </si>
  <si>
    <t>10매 / 고양1</t>
  </si>
  <si>
    <t>26/03/11</t>
  </si>
  <si>
    <t>26/03/23</t>
  </si>
  <si>
    <t>10매 / XRC14</t>
  </si>
  <si>
    <t>26/03/25</t>
  </si>
  <si>
    <t>26/03/26</t>
  </si>
  <si>
    <t>10매 / 인천30</t>
  </si>
  <si>
    <t>26/03/24</t>
  </si>
  <si>
    <t>26/03/30</t>
  </si>
  <si>
    <t>2025/01/01-1</t>
  </si>
  <si>
    <t>2025/01/24-13</t>
  </si>
  <si>
    <t>2025/01/31-16</t>
  </si>
  <si>
    <t>2025/01 계</t>
  </si>
  <si>
    <t>2025/08/28-10</t>
  </si>
  <si>
    <t>2025/08 계</t>
  </si>
  <si>
    <t>2025/09/10-2</t>
  </si>
  <si>
    <t>2025/09/10-11</t>
  </si>
  <si>
    <t>2025/09/12-4</t>
  </si>
  <si>
    <t>2025/09/30-16</t>
  </si>
  <si>
    <t>2025/09/30-18</t>
  </si>
  <si>
    <t>2025/09/30-34</t>
  </si>
  <si>
    <t>2025/09/30-39</t>
  </si>
  <si>
    <t>2025/09 계</t>
  </si>
  <si>
    <t>2025/10/01-35</t>
  </si>
  <si>
    <t>2025/10/02-2</t>
  </si>
  <si>
    <t>2025/10/02-3</t>
  </si>
  <si>
    <t>2025/10/02-22</t>
  </si>
  <si>
    <t>2025/10/02-23</t>
  </si>
  <si>
    <t>2025/10/02-24</t>
  </si>
  <si>
    <t>2025/10/02-27</t>
  </si>
  <si>
    <t>2025/10/02-28</t>
  </si>
  <si>
    <t>2025/10/02-29</t>
  </si>
  <si>
    <t>2025/10/02-30</t>
  </si>
  <si>
    <t>2025/10/14-18</t>
  </si>
  <si>
    <t>2025/10/16-2</t>
  </si>
  <si>
    <t>2025/10/16-13</t>
  </si>
  <si>
    <t>2025/10/20-15</t>
  </si>
  <si>
    <t>2025/10/20-16</t>
  </si>
  <si>
    <t>2025/10/21-10</t>
  </si>
  <si>
    <t>2025/10/21-11</t>
  </si>
  <si>
    <t>2025/10/21-12</t>
  </si>
  <si>
    <t>2025/10/21-14</t>
  </si>
  <si>
    <t>2025/10/21-36</t>
  </si>
  <si>
    <t>2025/10/21-38</t>
  </si>
  <si>
    <t>2025/10/27-17</t>
  </si>
  <si>
    <t>2025/10/28-23</t>
  </si>
  <si>
    <t>2025/10/28-31</t>
  </si>
  <si>
    <t>2025/10/28-35</t>
  </si>
  <si>
    <t>2025/10/30-7</t>
  </si>
  <si>
    <t>2025/11/01-2</t>
  </si>
  <si>
    <t>2025/11/01-3</t>
  </si>
  <si>
    <t>2025/11/01-4</t>
  </si>
  <si>
    <t>2025/11/01-5</t>
  </si>
  <si>
    <t>2025/11/01-6</t>
  </si>
  <si>
    <t>2025/11/01-10</t>
  </si>
  <si>
    <t>2025/11/03-9</t>
  </si>
  <si>
    <t>2025/11/04-6</t>
  </si>
  <si>
    <t>2025/11/04-7</t>
  </si>
  <si>
    <t>2025/11/04-8</t>
  </si>
  <si>
    <t>2025/11/04-9</t>
  </si>
  <si>
    <t>2025/11/04-10</t>
  </si>
  <si>
    <t>2025/11/04-11</t>
  </si>
  <si>
    <t>2025/11/04-12</t>
  </si>
  <si>
    <t>2025/11/04-14</t>
  </si>
  <si>
    <t>2025/11/06-11</t>
  </si>
  <si>
    <t>2025/11/06-12</t>
  </si>
  <si>
    <t>2025/11/06-13</t>
  </si>
  <si>
    <t>2025/11/06-14</t>
  </si>
  <si>
    <t>2025/11/06-15</t>
  </si>
  <si>
    <t>2025/11/06-18</t>
  </si>
  <si>
    <t>2025/11/07-16</t>
  </si>
  <si>
    <t>2025/11/07-17</t>
  </si>
  <si>
    <t>2025/11/07-18</t>
  </si>
  <si>
    <t>2025/11/07-19</t>
  </si>
  <si>
    <t>2025/11/07-20</t>
  </si>
  <si>
    <t>2025/11/07-21</t>
  </si>
  <si>
    <t>2025/11/07-22</t>
  </si>
  <si>
    <t>2025/11/07-28</t>
  </si>
  <si>
    <t>2025/11/07-30</t>
  </si>
  <si>
    <t>2025/11/10-6</t>
  </si>
  <si>
    <t>2025/11/10-7</t>
  </si>
  <si>
    <t>2025/11/10-8</t>
  </si>
  <si>
    <t>2025/11/10-9</t>
  </si>
  <si>
    <t>2025/11/10-10</t>
  </si>
  <si>
    <t>2025/11/10-11</t>
  </si>
  <si>
    <t>2025/11/10-12</t>
  </si>
  <si>
    <t>2025/11/10-38</t>
  </si>
  <si>
    <t>2025/11/10-39</t>
  </si>
  <si>
    <t>2025/11/11-17</t>
  </si>
  <si>
    <t>2025/11/11-21</t>
  </si>
  <si>
    <t>2025/11/11-22</t>
  </si>
  <si>
    <t>2025/11/11-23</t>
  </si>
  <si>
    <t>2025/11/11-24</t>
  </si>
  <si>
    <t>2025/11/12-13</t>
  </si>
  <si>
    <t>2025/11/14-17</t>
  </si>
  <si>
    <t>2025/11/14-18</t>
  </si>
  <si>
    <t>2025/11/14-19</t>
  </si>
  <si>
    <t>2025/11/14-20</t>
  </si>
  <si>
    <t>2025/11/14-21</t>
  </si>
  <si>
    <t>2025/11/14-22</t>
  </si>
  <si>
    <t>2025/11/14-31</t>
  </si>
  <si>
    <t>2025/11/17-4</t>
  </si>
  <si>
    <t>2025/11/17-5</t>
  </si>
  <si>
    <t>2025/11/17-6</t>
  </si>
  <si>
    <t>2025/11/17-7</t>
  </si>
  <si>
    <t>2025/11/17-8</t>
  </si>
  <si>
    <t>2025/11/17-21</t>
  </si>
  <si>
    <t>2025/11/19-5</t>
  </si>
  <si>
    <t>2025/11/21-19</t>
  </si>
  <si>
    <t>2025/11/21-24</t>
  </si>
  <si>
    <t>2025/11/22-2</t>
  </si>
  <si>
    <t>2025/11/22-3</t>
  </si>
  <si>
    <t>2025/11/22-4</t>
  </si>
  <si>
    <t>2025/11/22-5</t>
  </si>
  <si>
    <t>2025/11/22-6</t>
  </si>
  <si>
    <t>2025/11/24-10</t>
  </si>
  <si>
    <t>2025/11/24-11</t>
  </si>
  <si>
    <t>2025/11/24-12</t>
  </si>
  <si>
    <t>2025/11/24-13</t>
  </si>
  <si>
    <t>2025/11/24-17</t>
  </si>
  <si>
    <t>2025/11/24-31</t>
  </si>
  <si>
    <t>2025/11/25-9</t>
  </si>
  <si>
    <t>2025/11/26-3</t>
  </si>
  <si>
    <t>2025/11/26-4</t>
  </si>
  <si>
    <t>2025/11/27-6</t>
  </si>
  <si>
    <t>2025/11/27-8</t>
  </si>
  <si>
    <t>2025/11 계</t>
  </si>
  <si>
    <t>2025/12/01-10</t>
  </si>
  <si>
    <t>2025/12/01-13</t>
  </si>
  <si>
    <t>2025/12/02-8</t>
  </si>
  <si>
    <t>2025/12/02-9</t>
  </si>
  <si>
    <t>2025/12/02-10</t>
  </si>
  <si>
    <t>2025/12/02-11</t>
  </si>
  <si>
    <t>2025/12/02-13</t>
  </si>
  <si>
    <t>2025/12/02-22</t>
  </si>
  <si>
    <t>2025/12/02-29</t>
  </si>
  <si>
    <t>2025/12/02-30</t>
  </si>
  <si>
    <t>2025/12/02-34</t>
  </si>
  <si>
    <t>2025/12/03-23</t>
  </si>
  <si>
    <t>2025/12/04-3</t>
  </si>
  <si>
    <t>2025/12/04-4</t>
  </si>
  <si>
    <t>2025/12/04-5</t>
  </si>
  <si>
    <t>2025/12/04-21</t>
  </si>
  <si>
    <t>2025/12/04-23</t>
  </si>
  <si>
    <t>2025/12/05-2</t>
  </si>
  <si>
    <t>2025/12/05-20</t>
  </si>
  <si>
    <t>2025/12/05-22</t>
  </si>
  <si>
    <t>2025/12/08-14</t>
  </si>
  <si>
    <t>2025/12/08-16</t>
  </si>
  <si>
    <t>2025/12/09-15</t>
  </si>
  <si>
    <t>2025/12/09-20</t>
  </si>
  <si>
    <t>2025/12/10-4</t>
  </si>
  <si>
    <t>2025/12/10-5</t>
  </si>
  <si>
    <t>2025/12/10-6</t>
  </si>
  <si>
    <t>2025/12/10-7</t>
  </si>
  <si>
    <t>2025/12/10-8</t>
  </si>
  <si>
    <t>2025/12/10-16</t>
  </si>
  <si>
    <t>2025/12/10-21</t>
  </si>
  <si>
    <t>2025/12/10-22</t>
  </si>
  <si>
    <t>2025/12/11-5</t>
  </si>
  <si>
    <t>2025/12/11-17</t>
  </si>
  <si>
    <t>2025/12/12-3</t>
  </si>
  <si>
    <t>2025/12/12-4</t>
  </si>
  <si>
    <t>2025/12/16-18</t>
  </si>
  <si>
    <t>2025/12/16-26</t>
  </si>
  <si>
    <t>2025/12/17-2</t>
  </si>
  <si>
    <t>2025/12/17-3</t>
  </si>
  <si>
    <t>2025/12/17-4</t>
  </si>
  <si>
    <t>2025/12/17-5</t>
  </si>
  <si>
    <t>2025/12/17-6</t>
  </si>
  <si>
    <t>2025/12/17-7</t>
  </si>
  <si>
    <t>2025/12/17-8</t>
  </si>
  <si>
    <t>2025/12/17-21</t>
  </si>
  <si>
    <t>2025/12/18-1</t>
  </si>
  <si>
    <t>2025/12/18-2</t>
  </si>
  <si>
    <t>2025/12/18-3</t>
  </si>
  <si>
    <t>2025/12/18-4</t>
  </si>
  <si>
    <t>2025/12/18-11</t>
  </si>
  <si>
    <t>2025/12/19-2</t>
  </si>
  <si>
    <t>2025/12/19-3</t>
  </si>
  <si>
    <t>2025/12/19-19</t>
  </si>
  <si>
    <t>2025/12/19-23</t>
  </si>
  <si>
    <t>2025/12/19-24</t>
  </si>
  <si>
    <t>2025/12/22-8</t>
  </si>
  <si>
    <t>2025/12/22-16</t>
  </si>
  <si>
    <t>2025/12/22-17</t>
  </si>
  <si>
    <t>2025/12/22-18</t>
  </si>
  <si>
    <t>2025/12/22-26</t>
  </si>
  <si>
    <t>2025/12/23-12</t>
  </si>
  <si>
    <t>2025/12/24-4</t>
  </si>
  <si>
    <t>2025/12/28-1</t>
  </si>
  <si>
    <t>2025/12/29-15</t>
  </si>
  <si>
    <t>2025/12/30-5</t>
  </si>
  <si>
    <t>2025/12/30-6</t>
  </si>
  <si>
    <t>2025/12/30-7</t>
  </si>
  <si>
    <t>2025/12/31-5</t>
  </si>
  <si>
    <t>2025/12/31-6</t>
  </si>
  <si>
    <t>2025/12/31-7</t>
  </si>
  <si>
    <t>2025/12/31-28</t>
  </si>
  <si>
    <t xml:space="preserve">회사명 : (주)지엘 / 하루온군인핫팩(160g) 외 5건 / 2024/01/01  ~ 202026/04/05 </t>
  </si>
  <si>
    <t>2026/01/01-3</t>
  </si>
  <si>
    <t>2026/01/01-4</t>
  </si>
  <si>
    <t>2026/01/02-2</t>
  </si>
  <si>
    <t>2026/01/02-4</t>
  </si>
  <si>
    <t>2026/01/02-12</t>
  </si>
  <si>
    <t>2026/01/02-13</t>
  </si>
  <si>
    <t>2026/01/02-14</t>
  </si>
  <si>
    <t>2026/01/02-15</t>
  </si>
  <si>
    <t>2026/01/02-16</t>
  </si>
  <si>
    <t>2026/01/02-31</t>
  </si>
  <si>
    <t>2026/01/02-32</t>
  </si>
  <si>
    <t>2026/01/05-2</t>
  </si>
  <si>
    <t>2026/01/05-3</t>
  </si>
  <si>
    <t>2026/01/05-4</t>
  </si>
  <si>
    <t>2026/01/05-13</t>
  </si>
  <si>
    <t>2026/01/05-18</t>
  </si>
  <si>
    <t>2026/01/05-27</t>
  </si>
  <si>
    <t>2026/01/05-29</t>
  </si>
  <si>
    <t>2026/01/06-7</t>
  </si>
  <si>
    <t>2026/01/07-2</t>
  </si>
  <si>
    <t>2026/01/07-5</t>
  </si>
  <si>
    <t>2026/01/07-21</t>
  </si>
  <si>
    <t>2026/01/07-23</t>
  </si>
  <si>
    <t>2026/01/08-16</t>
  </si>
  <si>
    <t>2026/01/10-1</t>
  </si>
  <si>
    <t>2026/01/10-2</t>
  </si>
  <si>
    <t>2026/01/10-3</t>
  </si>
  <si>
    <t>2026/01/10-4</t>
  </si>
  <si>
    <t>2026/01/12-18</t>
  </si>
  <si>
    <t>2026/01/13-17</t>
  </si>
  <si>
    <t>2026/01/15-4</t>
  </si>
  <si>
    <t>2026/01/15-15</t>
  </si>
  <si>
    <t>2026/01/15-16</t>
  </si>
  <si>
    <t>2026/01/15-17</t>
  </si>
  <si>
    <t>2026/01/16-15</t>
  </si>
  <si>
    <t>2026/01/16-20</t>
  </si>
  <si>
    <t>2026/01/16-21</t>
  </si>
  <si>
    <t>2026/01/17-1</t>
  </si>
  <si>
    <t>2026/01/17-2</t>
  </si>
  <si>
    <t>2026/01/17-3</t>
  </si>
  <si>
    <t>2026/01/17-4</t>
  </si>
  <si>
    <t>2026/01/19-2</t>
  </si>
  <si>
    <t>2026/01/20-1</t>
  </si>
  <si>
    <t>2026/01/20-7</t>
  </si>
  <si>
    <t>2026/01/20-24</t>
  </si>
  <si>
    <t>2026/01/21-1</t>
  </si>
  <si>
    <t>2026/01/22-5</t>
  </si>
  <si>
    <t>2026/01/22-16</t>
  </si>
  <si>
    <t>2026/01/25-1</t>
  </si>
  <si>
    <t>2026/01/26-2</t>
  </si>
  <si>
    <t>2026/01/26-18</t>
  </si>
  <si>
    <t>2026/01/26-20</t>
  </si>
  <si>
    <t>2026/01/26-21</t>
  </si>
  <si>
    <t>2026/01/26-22</t>
  </si>
  <si>
    <t>2026/01/26-23</t>
  </si>
  <si>
    <t>2026/01/26-24</t>
  </si>
  <si>
    <t>2026/01/27-16</t>
  </si>
  <si>
    <t>2026/01/28-16</t>
  </si>
  <si>
    <t>2026/01/29-2</t>
  </si>
  <si>
    <t>2026/01/29-3</t>
  </si>
  <si>
    <t>2026/01/29-28</t>
  </si>
  <si>
    <t>2026/01/29-29</t>
  </si>
  <si>
    <t>2026/01/31-9</t>
  </si>
  <si>
    <t>2026/02/02-21</t>
  </si>
  <si>
    <t>2026/02/04-6</t>
  </si>
  <si>
    <t>2026/02/09-5</t>
  </si>
  <si>
    <t>2026/02/09-15</t>
  </si>
  <si>
    <t>2026/02/10-4</t>
  </si>
  <si>
    <t>2026/02/10-5</t>
  </si>
  <si>
    <t>2026/02/10-27</t>
  </si>
  <si>
    <t>2026/02/10-28</t>
  </si>
  <si>
    <t>2026/02/11-11</t>
  </si>
  <si>
    <t>2026/02/11-17</t>
  </si>
  <si>
    <t>2026/02/19-18</t>
  </si>
  <si>
    <t>2026/02/25-5</t>
  </si>
  <si>
    <t>2026/02/28-8</t>
  </si>
  <si>
    <t>2026/02 계</t>
  </si>
  <si>
    <t>2026/03/09-9</t>
  </si>
  <si>
    <t>2026/03/11-1</t>
  </si>
  <si>
    <t>2026/03/11-2</t>
  </si>
  <si>
    <t>2026/03/11-3</t>
  </si>
  <si>
    <t>2026/03/11-4</t>
  </si>
  <si>
    <t>2026/03/17-9</t>
  </si>
  <si>
    <t>2026/03/23-3</t>
  </si>
  <si>
    <t>2026/03/23-4</t>
  </si>
  <si>
    <t>2026/03/23-5</t>
  </si>
  <si>
    <t>2026/03/23-6</t>
  </si>
  <si>
    <t>2026/03/23-15</t>
  </si>
  <si>
    <t>2026/03/28-1</t>
  </si>
  <si>
    <t>2026/03/28-2</t>
  </si>
  <si>
    <t>2026/03 계</t>
  </si>
  <si>
    <t>구매현황</t>
    <phoneticPr fontId="1" type="noConversion"/>
  </si>
  <si>
    <t>판매현황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</si>
</sst>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Calibri"/>
      <family val="2"/>
    </font>
    <font>
      <b/>
      <sz val="16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3F3F3"/>
      </patternFill>
    </fill>
    <fill>
      <patternFill patternType="solid">
        <fgColor rgb="FFF3F3F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6" fillId="0" borderId="11"/>
  </cellStyleXfs>
  <cellXfs count="5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3" fontId="4" fillId="5" borderId="7" xfId="0" applyNumberFormat="1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3" fontId="5" fillId="0" borderId="7" xfId="0" applyNumberFormat="1" applyFont="1" applyBorder="1" applyAlignment="1">
      <alignment horizontal="righ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3" fontId="4" fillId="5" borderId="10" xfId="0" applyNumberFormat="1" applyFont="1" applyFill="1" applyBorder="1" applyAlignment="1">
      <alignment horizontal="righ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" fontId="5" fillId="0" borderId="7" xfId="0" applyNumberFormat="1" applyFont="1" applyBorder="1" applyAlignment="1">
      <alignment horizontal="right" vertical="center" wrapText="1"/>
    </xf>
    <xf numFmtId="0" fontId="2" fillId="0" borderId="11" xfId="1" applyFont="1" applyAlignment="1">
      <alignment horizontal="left" vertical="center"/>
    </xf>
    <xf numFmtId="0" fontId="3" fillId="0" borderId="11" xfId="1" applyFont="1"/>
    <xf numFmtId="0" fontId="5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vertical="center"/>
    </xf>
    <xf numFmtId="0" fontId="5" fillId="0" borderId="10" xfId="1" applyFont="1" applyBorder="1" applyAlignment="1">
      <alignment vertical="center" wrapText="1"/>
    </xf>
    <xf numFmtId="3" fontId="5" fillId="0" borderId="10" xfId="1" applyNumberFormat="1" applyFont="1" applyBorder="1" applyAlignment="1">
      <alignment horizontal="right" vertical="center" wrapText="1"/>
    </xf>
    <xf numFmtId="0" fontId="5" fillId="0" borderId="10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3" fontId="4" fillId="5" borderId="10" xfId="1" applyNumberFormat="1" applyFont="1" applyFill="1" applyBorder="1" applyAlignment="1">
      <alignment horizontal="right" vertical="center" wrapText="1"/>
    </xf>
    <xf numFmtId="0" fontId="4" fillId="5" borderId="10" xfId="1" applyFont="1" applyFill="1" applyBorder="1" applyAlignment="1">
      <alignment horizontal="left" vertical="center" wrapText="1"/>
    </xf>
    <xf numFmtId="0" fontId="4" fillId="5" borderId="10" xfId="1" applyFont="1" applyFill="1" applyBorder="1" applyAlignment="1">
      <alignment horizontal="center" vertical="center" wrapText="1"/>
    </xf>
    <xf numFmtId="0" fontId="5" fillId="0" borderId="10" xfId="1" applyFont="1" applyBorder="1" applyAlignment="1">
      <alignment horizontal="left" vertical="center"/>
    </xf>
    <xf numFmtId="4" fontId="5" fillId="0" borderId="10" xfId="0" applyNumberFormat="1" applyFont="1" applyBorder="1" applyAlignment="1">
      <alignment horizontal="right" vertical="center" wrapText="1"/>
    </xf>
    <xf numFmtId="0" fontId="3" fillId="0" borderId="11" xfId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5" borderId="14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zoomScaleNormal="100" workbookViewId="0">
      <selection sqref="A1:XFD2"/>
    </sheetView>
  </sheetViews>
  <sheetFormatPr defaultColWidth="9.109375" defaultRowHeight="20.100000000000001" customHeight="1" x14ac:dyDescent="0.35"/>
  <cols>
    <col min="1" max="1" width="17.109375" style="2" customWidth="1"/>
    <col min="2" max="2" width="15.44140625" style="2" customWidth="1"/>
    <col min="3" max="3" width="36.88671875" style="2" bestFit="1" customWidth="1"/>
    <col min="4" max="4" width="15.33203125" style="2" customWidth="1"/>
    <col min="5" max="8" width="16.5546875" style="2" customWidth="1"/>
    <col min="9" max="9" width="40.33203125" style="2" bestFit="1" customWidth="1"/>
    <col min="10" max="10" width="31.109375" style="2" customWidth="1"/>
    <col min="11" max="16384" width="9.109375" style="2"/>
  </cols>
  <sheetData>
    <row r="1" spans="1:10" ht="36" customHeight="1" x14ac:dyDescent="0.35">
      <c r="A1" s="47" t="s">
        <v>565</v>
      </c>
      <c r="B1" s="47"/>
      <c r="C1" s="47"/>
      <c r="D1" s="47"/>
      <c r="E1" s="47"/>
      <c r="F1" s="47"/>
      <c r="G1" s="47"/>
      <c r="H1" s="47"/>
      <c r="I1" s="47"/>
      <c r="J1" s="47"/>
    </row>
    <row r="3" spans="1:10" ht="20.100000000000001" customHeight="1" x14ac:dyDescent="0.35">
      <c r="A3" s="1" t="s">
        <v>84</v>
      </c>
    </row>
    <row r="4" spans="1:10" ht="20.100000000000001" customHeight="1" x14ac:dyDescent="0.35">
      <c r="A4" s="3" t="s">
        <v>0</v>
      </c>
      <c r="B4" s="4" t="s">
        <v>1</v>
      </c>
      <c r="C4" s="3" t="s">
        <v>2</v>
      </c>
      <c r="D4" s="3" t="s">
        <v>3</v>
      </c>
      <c r="E4" s="3" t="s">
        <v>79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83</v>
      </c>
    </row>
    <row r="5" spans="1:10" ht="20.100000000000001" customHeight="1" x14ac:dyDescent="0.35">
      <c r="A5" s="8" t="s">
        <v>47</v>
      </c>
      <c r="B5" s="31" t="s">
        <v>45</v>
      </c>
      <c r="C5" s="18" t="s">
        <v>15</v>
      </c>
      <c r="D5" s="11">
        <v>5400</v>
      </c>
      <c r="E5" s="32">
        <v>10.15</v>
      </c>
      <c r="F5" s="11">
        <v>0</v>
      </c>
      <c r="G5" s="11">
        <v>0</v>
      </c>
      <c r="H5" s="11">
        <v>0</v>
      </c>
      <c r="I5" s="10" t="s">
        <v>80</v>
      </c>
      <c r="J5" s="29"/>
    </row>
    <row r="6" spans="1:10" ht="20.100000000000001" customHeight="1" x14ac:dyDescent="0.35">
      <c r="A6" s="12" t="s">
        <v>49</v>
      </c>
      <c r="B6" s="24" t="s">
        <v>45</v>
      </c>
      <c r="C6" s="14" t="s">
        <v>15</v>
      </c>
      <c r="D6" s="15">
        <v>6120</v>
      </c>
      <c r="E6" s="32">
        <v>10.15</v>
      </c>
      <c r="F6" s="15">
        <v>0</v>
      </c>
      <c r="G6" s="15">
        <v>0</v>
      </c>
      <c r="H6" s="15">
        <v>0</v>
      </c>
      <c r="I6" s="10" t="s">
        <v>80</v>
      </c>
      <c r="J6" s="28"/>
    </row>
    <row r="7" spans="1:10" ht="20.100000000000001" customHeight="1" x14ac:dyDescent="0.35">
      <c r="A7" s="8" t="s">
        <v>48</v>
      </c>
      <c r="B7" s="23" t="s">
        <v>44</v>
      </c>
      <c r="C7" s="10" t="s">
        <v>41</v>
      </c>
      <c r="D7" s="11">
        <v>14400</v>
      </c>
      <c r="E7" s="32">
        <v>4.5430000000000001</v>
      </c>
      <c r="F7" s="11">
        <v>0</v>
      </c>
      <c r="G7" s="11">
        <v>0</v>
      </c>
      <c r="H7" s="11">
        <v>0</v>
      </c>
      <c r="I7" s="10" t="s">
        <v>80</v>
      </c>
      <c r="J7" s="29"/>
    </row>
    <row r="8" spans="1:10" ht="20.100000000000001" customHeight="1" x14ac:dyDescent="0.35">
      <c r="A8" s="8" t="s">
        <v>50</v>
      </c>
      <c r="B8" s="23" t="s">
        <v>45</v>
      </c>
      <c r="C8" s="10" t="s">
        <v>15</v>
      </c>
      <c r="D8" s="11">
        <v>9540</v>
      </c>
      <c r="E8" s="32">
        <v>10.15</v>
      </c>
      <c r="F8" s="11">
        <v>0</v>
      </c>
      <c r="G8" s="11">
        <v>0</v>
      </c>
      <c r="H8" s="11">
        <v>0</v>
      </c>
      <c r="I8" s="10" t="s">
        <v>80</v>
      </c>
      <c r="J8" s="29"/>
    </row>
    <row r="9" spans="1:10" ht="20.100000000000001" customHeight="1" x14ac:dyDescent="0.35">
      <c r="A9" s="8" t="s">
        <v>50</v>
      </c>
      <c r="B9" s="23" t="s">
        <v>44</v>
      </c>
      <c r="C9" s="10" t="s">
        <v>41</v>
      </c>
      <c r="D9" s="11">
        <v>5520</v>
      </c>
      <c r="E9" s="32">
        <v>4.5430000000000001</v>
      </c>
      <c r="F9" s="11">
        <v>0</v>
      </c>
      <c r="G9" s="11">
        <v>0</v>
      </c>
      <c r="H9" s="11">
        <v>0</v>
      </c>
      <c r="I9" s="10" t="s">
        <v>80</v>
      </c>
      <c r="J9" s="29"/>
    </row>
    <row r="10" spans="1:10" ht="20.100000000000001" customHeight="1" x14ac:dyDescent="0.35">
      <c r="A10" s="12" t="s">
        <v>51</v>
      </c>
      <c r="B10" s="24" t="s">
        <v>45</v>
      </c>
      <c r="C10" s="14" t="s">
        <v>15</v>
      </c>
      <c r="D10" s="15">
        <v>11520</v>
      </c>
      <c r="E10" s="32">
        <v>10.15</v>
      </c>
      <c r="F10" s="15">
        <v>0</v>
      </c>
      <c r="G10" s="15">
        <v>0</v>
      </c>
      <c r="H10" s="15">
        <v>0</v>
      </c>
      <c r="I10" s="10" t="s">
        <v>80</v>
      </c>
      <c r="J10" s="28"/>
    </row>
    <row r="11" spans="1:10" ht="20.100000000000001" customHeight="1" x14ac:dyDescent="0.35">
      <c r="A11" s="8" t="s">
        <v>52</v>
      </c>
      <c r="B11" s="23" t="s">
        <v>45</v>
      </c>
      <c r="C11" s="10" t="s">
        <v>15</v>
      </c>
      <c r="D11" s="11">
        <v>12020</v>
      </c>
      <c r="E11" s="32">
        <v>10.15</v>
      </c>
      <c r="F11" s="11">
        <v>0</v>
      </c>
      <c r="G11" s="11">
        <v>0</v>
      </c>
      <c r="H11" s="11">
        <v>0</v>
      </c>
      <c r="I11" s="10" t="s">
        <v>80</v>
      </c>
      <c r="J11" s="29"/>
    </row>
    <row r="12" spans="1:10" ht="20.100000000000001" customHeight="1" x14ac:dyDescent="0.35">
      <c r="A12" s="48" t="s">
        <v>77</v>
      </c>
      <c r="B12" s="49"/>
      <c r="C12" s="50"/>
      <c r="D12" s="5">
        <f>SUM(D5:D11)</f>
        <v>64520</v>
      </c>
      <c r="E12" s="5">
        <v>0</v>
      </c>
      <c r="F12" s="5">
        <v>0</v>
      </c>
      <c r="G12" s="5">
        <v>0</v>
      </c>
      <c r="H12" s="5">
        <v>0</v>
      </c>
      <c r="I12" s="25"/>
      <c r="J12" s="27"/>
    </row>
    <row r="13" spans="1:10" ht="20.100000000000001" customHeight="1" x14ac:dyDescent="0.35">
      <c r="A13" s="8" t="s">
        <v>54</v>
      </c>
      <c r="B13" s="23" t="s">
        <v>44</v>
      </c>
      <c r="C13" s="10" t="s">
        <v>41</v>
      </c>
      <c r="D13" s="11">
        <v>10020</v>
      </c>
      <c r="E13" s="32">
        <v>4.5430000000000001</v>
      </c>
      <c r="F13" s="11">
        <v>0</v>
      </c>
      <c r="G13" s="11">
        <v>0</v>
      </c>
      <c r="H13" s="11">
        <v>0</v>
      </c>
      <c r="I13" s="10" t="s">
        <v>80</v>
      </c>
      <c r="J13" s="29"/>
    </row>
    <row r="14" spans="1:10" ht="20.100000000000001" customHeight="1" x14ac:dyDescent="0.35">
      <c r="A14" s="48" t="s">
        <v>53</v>
      </c>
      <c r="B14" s="49"/>
      <c r="C14" s="50"/>
      <c r="D14" s="5">
        <f>SUM(D13)</f>
        <v>10020</v>
      </c>
      <c r="E14" s="5">
        <v>0</v>
      </c>
      <c r="F14" s="5">
        <v>0</v>
      </c>
      <c r="G14" s="5">
        <v>0</v>
      </c>
      <c r="H14" s="5">
        <v>0</v>
      </c>
      <c r="I14" s="25"/>
      <c r="J14" s="27"/>
    </row>
    <row r="15" spans="1:10" ht="20.100000000000001" customHeight="1" x14ac:dyDescent="0.35">
      <c r="A15" s="8" t="s">
        <v>55</v>
      </c>
      <c r="B15" s="9" t="s">
        <v>43</v>
      </c>
      <c r="C15" s="10" t="s">
        <v>12</v>
      </c>
      <c r="D15" s="11">
        <v>5400</v>
      </c>
      <c r="E15" s="32">
        <v>10.210000000000001</v>
      </c>
      <c r="F15" s="11">
        <v>0</v>
      </c>
      <c r="G15" s="11">
        <v>0</v>
      </c>
      <c r="H15" s="11">
        <v>0</v>
      </c>
      <c r="I15" s="10" t="s">
        <v>82</v>
      </c>
      <c r="J15" s="29"/>
    </row>
    <row r="16" spans="1:10" ht="20.100000000000001" customHeight="1" x14ac:dyDescent="0.35">
      <c r="A16" s="8" t="s">
        <v>11</v>
      </c>
      <c r="B16" s="9" t="s">
        <v>43</v>
      </c>
      <c r="C16" s="10" t="s">
        <v>12</v>
      </c>
      <c r="D16" s="11">
        <v>1152</v>
      </c>
      <c r="E16" s="32">
        <v>10.210000000000001</v>
      </c>
      <c r="F16" s="11"/>
      <c r="G16" s="11"/>
      <c r="H16" s="11"/>
      <c r="I16" s="10" t="s">
        <v>82</v>
      </c>
      <c r="J16" s="9"/>
    </row>
    <row r="17" spans="1:10" ht="20.100000000000001" customHeight="1" x14ac:dyDescent="0.35">
      <c r="A17" s="8" t="s">
        <v>11</v>
      </c>
      <c r="B17" s="9" t="s">
        <v>43</v>
      </c>
      <c r="C17" s="10" t="s">
        <v>12</v>
      </c>
      <c r="D17" s="11">
        <v>25536</v>
      </c>
      <c r="E17" s="32">
        <v>10.210000000000001</v>
      </c>
      <c r="F17" s="11"/>
      <c r="G17" s="11"/>
      <c r="H17" s="11"/>
      <c r="I17" s="10" t="s">
        <v>82</v>
      </c>
      <c r="J17" s="9"/>
    </row>
    <row r="18" spans="1:10" ht="20.100000000000001" customHeight="1" x14ac:dyDescent="0.35">
      <c r="A18" s="12" t="s">
        <v>56</v>
      </c>
      <c r="B18" s="24" t="s">
        <v>44</v>
      </c>
      <c r="C18" s="14" t="s">
        <v>41</v>
      </c>
      <c r="D18" s="15">
        <v>15300</v>
      </c>
      <c r="E18" s="45">
        <v>4.4249999999999998</v>
      </c>
      <c r="F18" s="15">
        <v>0</v>
      </c>
      <c r="G18" s="15">
        <v>0</v>
      </c>
      <c r="H18" s="15">
        <v>0</v>
      </c>
      <c r="I18" s="14" t="s">
        <v>81</v>
      </c>
      <c r="J18" s="28"/>
    </row>
    <row r="19" spans="1:10" ht="20.100000000000001" customHeight="1" x14ac:dyDescent="0.35">
      <c r="A19" s="8" t="s">
        <v>56</v>
      </c>
      <c r="B19" s="23" t="s">
        <v>45</v>
      </c>
      <c r="C19" s="10" t="s">
        <v>15</v>
      </c>
      <c r="D19" s="11">
        <v>672</v>
      </c>
      <c r="E19" s="32">
        <v>10.97</v>
      </c>
      <c r="F19" s="11">
        <v>0</v>
      </c>
      <c r="G19" s="11">
        <v>0</v>
      </c>
      <c r="H19" s="11">
        <v>0</v>
      </c>
      <c r="I19" s="14" t="s">
        <v>81</v>
      </c>
      <c r="J19" s="29"/>
    </row>
    <row r="20" spans="1:10" ht="20.100000000000001" customHeight="1" x14ac:dyDescent="0.35">
      <c r="A20" s="51" t="s">
        <v>46</v>
      </c>
      <c r="B20" s="52"/>
      <c r="C20" s="53"/>
      <c r="D20" s="5">
        <f>SUM(D15:D19)</f>
        <v>48060</v>
      </c>
      <c r="E20" s="5"/>
      <c r="F20" s="5"/>
      <c r="G20" s="5"/>
      <c r="H20" s="5"/>
      <c r="I20" s="6"/>
      <c r="J20" s="7"/>
    </row>
    <row r="21" spans="1:10" ht="20.100000000000001" customHeight="1" x14ac:dyDescent="0.35">
      <c r="A21" s="8" t="s">
        <v>58</v>
      </c>
      <c r="B21" s="23" t="s">
        <v>45</v>
      </c>
      <c r="C21" s="10" t="s">
        <v>15</v>
      </c>
      <c r="D21" s="11">
        <v>8736</v>
      </c>
      <c r="E21" s="32">
        <v>10.97</v>
      </c>
      <c r="F21" s="11">
        <v>0</v>
      </c>
      <c r="G21" s="11">
        <v>0</v>
      </c>
      <c r="H21" s="11">
        <v>0</v>
      </c>
      <c r="I21" s="14" t="s">
        <v>81</v>
      </c>
      <c r="J21" s="29"/>
    </row>
    <row r="22" spans="1:10" ht="20.100000000000001" customHeight="1" x14ac:dyDescent="0.35">
      <c r="A22" s="8" t="s">
        <v>58</v>
      </c>
      <c r="B22" s="23" t="s">
        <v>44</v>
      </c>
      <c r="C22" s="10" t="s">
        <v>41</v>
      </c>
      <c r="D22" s="11">
        <v>10500</v>
      </c>
      <c r="E22" s="45">
        <v>4.4249999999999998</v>
      </c>
      <c r="F22" s="11">
        <v>0</v>
      </c>
      <c r="G22" s="11">
        <v>0</v>
      </c>
      <c r="H22" s="11">
        <v>0</v>
      </c>
      <c r="I22" s="14" t="s">
        <v>81</v>
      </c>
      <c r="J22" s="29"/>
    </row>
    <row r="23" spans="1:10" ht="20.100000000000001" customHeight="1" x14ac:dyDescent="0.35">
      <c r="A23" s="8" t="s">
        <v>13</v>
      </c>
      <c r="B23" s="9" t="s">
        <v>43</v>
      </c>
      <c r="C23" s="10" t="s">
        <v>12</v>
      </c>
      <c r="D23" s="11">
        <v>20160</v>
      </c>
      <c r="E23" s="32">
        <v>10.210000000000001</v>
      </c>
      <c r="F23" s="11"/>
      <c r="G23" s="11"/>
      <c r="H23" s="11"/>
      <c r="I23" s="10" t="s">
        <v>82</v>
      </c>
      <c r="J23" s="9"/>
    </row>
    <row r="24" spans="1:10" ht="20.100000000000001" customHeight="1" x14ac:dyDescent="0.35">
      <c r="A24" s="8" t="s">
        <v>59</v>
      </c>
      <c r="B24" s="23" t="s">
        <v>45</v>
      </c>
      <c r="C24" s="10" t="s">
        <v>15</v>
      </c>
      <c r="D24" s="11">
        <v>7812</v>
      </c>
      <c r="E24" s="32">
        <v>10.15</v>
      </c>
      <c r="F24" s="11">
        <v>0</v>
      </c>
      <c r="G24" s="11">
        <v>0</v>
      </c>
      <c r="H24" s="11">
        <v>0</v>
      </c>
      <c r="I24" s="10" t="s">
        <v>80</v>
      </c>
      <c r="J24" s="29"/>
    </row>
    <row r="25" spans="1:10" ht="20.100000000000001" customHeight="1" x14ac:dyDescent="0.35">
      <c r="A25" s="8" t="s">
        <v>59</v>
      </c>
      <c r="B25" s="23" t="s">
        <v>44</v>
      </c>
      <c r="C25" s="10" t="s">
        <v>41</v>
      </c>
      <c r="D25" s="11">
        <v>8064</v>
      </c>
      <c r="E25" s="32">
        <v>4.5430000000000001</v>
      </c>
      <c r="F25" s="11">
        <v>0</v>
      </c>
      <c r="G25" s="11">
        <v>0</v>
      </c>
      <c r="H25" s="11">
        <v>0</v>
      </c>
      <c r="I25" s="10" t="s">
        <v>80</v>
      </c>
      <c r="J25" s="29"/>
    </row>
    <row r="26" spans="1:10" ht="20.100000000000001" customHeight="1" x14ac:dyDescent="0.35">
      <c r="A26" s="8" t="s">
        <v>14</v>
      </c>
      <c r="B26" s="9" t="s">
        <v>45</v>
      </c>
      <c r="C26" s="10" t="s">
        <v>15</v>
      </c>
      <c r="D26" s="11">
        <v>40320</v>
      </c>
      <c r="E26" s="32">
        <v>10.210000000000001</v>
      </c>
      <c r="F26" s="11"/>
      <c r="G26" s="11"/>
      <c r="H26" s="11"/>
      <c r="I26" s="10" t="s">
        <v>82</v>
      </c>
      <c r="J26" s="9"/>
    </row>
    <row r="27" spans="1:10" ht="20.100000000000001" customHeight="1" x14ac:dyDescent="0.35">
      <c r="A27" s="8" t="s">
        <v>60</v>
      </c>
      <c r="B27" s="23" t="s">
        <v>44</v>
      </c>
      <c r="C27" s="10" t="s">
        <v>41</v>
      </c>
      <c r="D27" s="11">
        <v>37800</v>
      </c>
      <c r="E27" s="45">
        <v>4.4249999999999998</v>
      </c>
      <c r="F27" s="11">
        <v>0</v>
      </c>
      <c r="G27" s="11">
        <v>0</v>
      </c>
      <c r="H27" s="11">
        <v>0</v>
      </c>
      <c r="I27" s="14" t="s">
        <v>81</v>
      </c>
      <c r="J27" s="29"/>
    </row>
    <row r="28" spans="1:10" ht="20.100000000000001" customHeight="1" x14ac:dyDescent="0.35">
      <c r="A28" s="8" t="s">
        <v>60</v>
      </c>
      <c r="B28" s="9" t="s">
        <v>43</v>
      </c>
      <c r="C28" s="10" t="s">
        <v>12</v>
      </c>
      <c r="D28" s="11">
        <v>6048</v>
      </c>
      <c r="E28" s="32">
        <v>11.387</v>
      </c>
      <c r="F28" s="11">
        <v>0</v>
      </c>
      <c r="G28" s="11">
        <v>0</v>
      </c>
      <c r="H28" s="11">
        <v>0</v>
      </c>
      <c r="I28" s="14" t="s">
        <v>81</v>
      </c>
      <c r="J28" s="29"/>
    </row>
    <row r="29" spans="1:10" ht="20.100000000000001" customHeight="1" x14ac:dyDescent="0.35">
      <c r="A29" s="8" t="s">
        <v>60</v>
      </c>
      <c r="B29" s="23" t="s">
        <v>45</v>
      </c>
      <c r="C29" s="10" t="s">
        <v>15</v>
      </c>
      <c r="D29" s="11">
        <v>6048</v>
      </c>
      <c r="E29" s="32">
        <v>10.97</v>
      </c>
      <c r="F29" s="11">
        <v>0</v>
      </c>
      <c r="G29" s="11">
        <v>0</v>
      </c>
      <c r="H29" s="11">
        <v>0</v>
      </c>
      <c r="I29" s="14" t="s">
        <v>81</v>
      </c>
      <c r="J29" s="29"/>
    </row>
    <row r="30" spans="1:10" ht="20.100000000000001" customHeight="1" x14ac:dyDescent="0.35">
      <c r="A30" s="8" t="s">
        <v>16</v>
      </c>
      <c r="B30" s="9" t="s">
        <v>43</v>
      </c>
      <c r="C30" s="10" t="s">
        <v>12</v>
      </c>
      <c r="D30" s="11">
        <v>13440</v>
      </c>
      <c r="E30" s="32">
        <v>10.210000000000001</v>
      </c>
      <c r="F30" s="11"/>
      <c r="G30" s="11"/>
      <c r="H30" s="11"/>
      <c r="I30" s="10" t="s">
        <v>82</v>
      </c>
      <c r="J30" s="9"/>
    </row>
    <row r="31" spans="1:10" ht="20.100000000000001" customHeight="1" x14ac:dyDescent="0.35">
      <c r="A31" s="8" t="s">
        <v>61</v>
      </c>
      <c r="B31" s="23" t="s">
        <v>45</v>
      </c>
      <c r="C31" s="10" t="s">
        <v>15</v>
      </c>
      <c r="D31" s="11">
        <v>8736</v>
      </c>
      <c r="E31" s="32">
        <v>10.97</v>
      </c>
      <c r="F31" s="11">
        <v>0</v>
      </c>
      <c r="G31" s="11">
        <v>0</v>
      </c>
      <c r="H31" s="11">
        <v>0</v>
      </c>
      <c r="I31" s="14" t="s">
        <v>81</v>
      </c>
      <c r="J31" s="29"/>
    </row>
    <row r="32" spans="1:10" ht="20.100000000000001" customHeight="1" x14ac:dyDescent="0.35">
      <c r="A32" s="8" t="s">
        <v>61</v>
      </c>
      <c r="B32" s="23" t="s">
        <v>44</v>
      </c>
      <c r="C32" s="10" t="s">
        <v>41</v>
      </c>
      <c r="D32" s="11">
        <v>8400</v>
      </c>
      <c r="E32" s="45">
        <v>4.4249999999999998</v>
      </c>
      <c r="F32" s="11">
        <v>0</v>
      </c>
      <c r="G32" s="11">
        <v>0</v>
      </c>
      <c r="H32" s="11">
        <v>0</v>
      </c>
      <c r="I32" s="14" t="s">
        <v>81</v>
      </c>
      <c r="J32" s="29"/>
    </row>
    <row r="33" spans="1:10" ht="20.100000000000001" customHeight="1" x14ac:dyDescent="0.35">
      <c r="A33" s="48" t="s">
        <v>57</v>
      </c>
      <c r="B33" s="49"/>
      <c r="C33" s="50"/>
      <c r="D33" s="5">
        <f>SUM(D21:D32)</f>
        <v>176064</v>
      </c>
      <c r="E33" s="5"/>
      <c r="F33" s="5"/>
      <c r="G33" s="5"/>
      <c r="H33" s="5"/>
      <c r="I33" s="25"/>
      <c r="J33" s="27"/>
    </row>
    <row r="34" spans="1:10" ht="20.100000000000001" customHeight="1" x14ac:dyDescent="0.35">
      <c r="A34" s="12" t="s">
        <v>17</v>
      </c>
      <c r="B34" s="13" t="s">
        <v>43</v>
      </c>
      <c r="C34" s="14" t="s">
        <v>12</v>
      </c>
      <c r="D34" s="15">
        <v>27360</v>
      </c>
      <c r="E34" s="32">
        <v>10.210000000000001</v>
      </c>
      <c r="F34" s="15"/>
      <c r="G34" s="15"/>
      <c r="H34" s="15"/>
      <c r="I34" s="10" t="s">
        <v>82</v>
      </c>
      <c r="J34" s="13"/>
    </row>
    <row r="35" spans="1:10" ht="20.100000000000001" customHeight="1" x14ac:dyDescent="0.35">
      <c r="A35" s="8" t="s">
        <v>18</v>
      </c>
      <c r="B35" s="9" t="s">
        <v>43</v>
      </c>
      <c r="C35" s="10" t="s">
        <v>12</v>
      </c>
      <c r="D35" s="11">
        <v>13440</v>
      </c>
      <c r="E35" s="32">
        <v>10.210000000000001</v>
      </c>
      <c r="F35" s="11"/>
      <c r="G35" s="11"/>
      <c r="H35" s="11"/>
      <c r="I35" s="10" t="s">
        <v>82</v>
      </c>
      <c r="J35" s="9"/>
    </row>
    <row r="36" spans="1:10" ht="20.100000000000001" customHeight="1" x14ac:dyDescent="0.35">
      <c r="A36" s="8" t="s">
        <v>18</v>
      </c>
      <c r="B36" s="9" t="s">
        <v>45</v>
      </c>
      <c r="C36" s="10" t="s">
        <v>15</v>
      </c>
      <c r="D36" s="11">
        <v>13440</v>
      </c>
      <c r="E36" s="32">
        <v>10.210000000000001</v>
      </c>
      <c r="F36" s="11"/>
      <c r="G36" s="11"/>
      <c r="H36" s="11"/>
      <c r="I36" s="10" t="s">
        <v>82</v>
      </c>
      <c r="J36" s="9"/>
    </row>
    <row r="37" spans="1:10" ht="20.100000000000001" customHeight="1" x14ac:dyDescent="0.35">
      <c r="A37" s="8" t="s">
        <v>62</v>
      </c>
      <c r="B37" s="23" t="s">
        <v>45</v>
      </c>
      <c r="C37" s="10" t="s">
        <v>15</v>
      </c>
      <c r="D37" s="11">
        <v>14112</v>
      </c>
      <c r="E37" s="32">
        <v>10.97</v>
      </c>
      <c r="F37" s="11">
        <v>0</v>
      </c>
      <c r="G37" s="11">
        <v>0</v>
      </c>
      <c r="H37" s="11">
        <v>0</v>
      </c>
      <c r="I37" s="14" t="s">
        <v>81</v>
      </c>
      <c r="J37" s="29"/>
    </row>
    <row r="38" spans="1:10" ht="20.100000000000001" customHeight="1" x14ac:dyDescent="0.35">
      <c r="A38" s="12" t="s">
        <v>62</v>
      </c>
      <c r="B38" s="24" t="s">
        <v>44</v>
      </c>
      <c r="C38" s="14" t="s">
        <v>41</v>
      </c>
      <c r="D38" s="15">
        <v>31500</v>
      </c>
      <c r="E38" s="45">
        <v>4.4249999999999998</v>
      </c>
      <c r="F38" s="15">
        <v>0</v>
      </c>
      <c r="G38" s="15">
        <v>0</v>
      </c>
      <c r="H38" s="15">
        <v>0</v>
      </c>
      <c r="I38" s="14" t="s">
        <v>81</v>
      </c>
      <c r="J38" s="28"/>
    </row>
    <row r="39" spans="1:10" ht="20.100000000000001" customHeight="1" x14ac:dyDescent="0.35">
      <c r="A39" s="20" t="s">
        <v>63</v>
      </c>
      <c r="B39" s="21" t="s">
        <v>45</v>
      </c>
      <c r="C39" s="10" t="s">
        <v>15</v>
      </c>
      <c r="D39" s="15">
        <v>10620</v>
      </c>
      <c r="E39" s="32">
        <v>10.15</v>
      </c>
      <c r="F39" s="15">
        <v>0</v>
      </c>
      <c r="G39" s="15">
        <v>0</v>
      </c>
      <c r="H39" s="15">
        <v>0</v>
      </c>
      <c r="I39" s="10" t="s">
        <v>80</v>
      </c>
      <c r="J39" s="19"/>
    </row>
    <row r="40" spans="1:10" ht="20.100000000000001" customHeight="1" x14ac:dyDescent="0.35">
      <c r="A40" s="20" t="s">
        <v>19</v>
      </c>
      <c r="B40" s="22" t="s">
        <v>43</v>
      </c>
      <c r="C40" s="10" t="s">
        <v>12</v>
      </c>
      <c r="D40" s="15">
        <v>13440</v>
      </c>
      <c r="E40" s="32">
        <v>10.210000000000001</v>
      </c>
      <c r="F40" s="15"/>
      <c r="G40" s="15"/>
      <c r="H40" s="15"/>
      <c r="I40" s="10" t="s">
        <v>82</v>
      </c>
      <c r="J40" s="22"/>
    </row>
    <row r="41" spans="1:10" ht="20.100000000000001" customHeight="1" x14ac:dyDescent="0.35">
      <c r="A41" s="20" t="s">
        <v>20</v>
      </c>
      <c r="B41" s="22" t="s">
        <v>43</v>
      </c>
      <c r="C41" s="19" t="s">
        <v>12</v>
      </c>
      <c r="D41" s="15">
        <v>26880</v>
      </c>
      <c r="E41" s="32">
        <v>10.210000000000001</v>
      </c>
      <c r="F41" s="15"/>
      <c r="G41" s="15"/>
      <c r="H41" s="15"/>
      <c r="I41" s="10" t="s">
        <v>82</v>
      </c>
      <c r="J41" s="22"/>
    </row>
    <row r="42" spans="1:10" ht="20.100000000000001" customHeight="1" x14ac:dyDescent="0.35">
      <c r="A42" s="20" t="s">
        <v>64</v>
      </c>
      <c r="B42" s="21" t="s">
        <v>45</v>
      </c>
      <c r="C42" s="10" t="s">
        <v>15</v>
      </c>
      <c r="D42" s="15">
        <v>6720</v>
      </c>
      <c r="E42" s="32">
        <v>10.97</v>
      </c>
      <c r="F42" s="15">
        <v>0</v>
      </c>
      <c r="G42" s="15">
        <v>0</v>
      </c>
      <c r="H42" s="15">
        <v>0</v>
      </c>
      <c r="I42" s="14" t="s">
        <v>81</v>
      </c>
      <c r="J42" s="19"/>
    </row>
    <row r="43" spans="1:10" ht="20.100000000000001" customHeight="1" x14ac:dyDescent="0.35">
      <c r="A43" s="20" t="s">
        <v>64</v>
      </c>
      <c r="B43" s="22" t="s">
        <v>43</v>
      </c>
      <c r="C43" s="19" t="s">
        <v>12</v>
      </c>
      <c r="D43" s="15">
        <v>8064</v>
      </c>
      <c r="E43" s="32">
        <v>11.387</v>
      </c>
      <c r="F43" s="15">
        <v>0</v>
      </c>
      <c r="G43" s="15">
        <v>0</v>
      </c>
      <c r="H43" s="15">
        <v>0</v>
      </c>
      <c r="I43" s="14" t="s">
        <v>81</v>
      </c>
      <c r="J43" s="19"/>
    </row>
    <row r="44" spans="1:10" ht="20.100000000000001" customHeight="1" x14ac:dyDescent="0.35">
      <c r="A44" s="20" t="s">
        <v>64</v>
      </c>
      <c r="B44" s="21" t="s">
        <v>44</v>
      </c>
      <c r="C44" s="10" t="s">
        <v>41</v>
      </c>
      <c r="D44" s="15">
        <v>16800</v>
      </c>
      <c r="E44" s="45">
        <v>4.4249999999999998</v>
      </c>
      <c r="F44" s="15">
        <v>0</v>
      </c>
      <c r="G44" s="15">
        <v>0</v>
      </c>
      <c r="H44" s="15">
        <v>0</v>
      </c>
      <c r="I44" s="14" t="s">
        <v>81</v>
      </c>
      <c r="J44" s="19"/>
    </row>
    <row r="45" spans="1:10" ht="20.100000000000001" customHeight="1" x14ac:dyDescent="0.35">
      <c r="A45" s="20" t="s">
        <v>21</v>
      </c>
      <c r="B45" s="22" t="s">
        <v>43</v>
      </c>
      <c r="C45" s="10" t="s">
        <v>12</v>
      </c>
      <c r="D45" s="15">
        <v>13440</v>
      </c>
      <c r="E45" s="32">
        <v>10.210000000000001</v>
      </c>
      <c r="F45" s="15"/>
      <c r="G45" s="15"/>
      <c r="H45" s="15"/>
      <c r="I45" s="10" t="s">
        <v>82</v>
      </c>
      <c r="J45" s="22"/>
    </row>
    <row r="46" spans="1:10" ht="20.100000000000001" customHeight="1" x14ac:dyDescent="0.35">
      <c r="A46" s="20" t="s">
        <v>65</v>
      </c>
      <c r="B46" s="21" t="s">
        <v>45</v>
      </c>
      <c r="C46" s="19" t="s">
        <v>15</v>
      </c>
      <c r="D46" s="15">
        <v>9696</v>
      </c>
      <c r="E46" s="32">
        <v>10.97</v>
      </c>
      <c r="F46" s="15">
        <v>0</v>
      </c>
      <c r="G46" s="15">
        <v>0</v>
      </c>
      <c r="H46" s="15">
        <v>0</v>
      </c>
      <c r="I46" s="14" t="s">
        <v>81</v>
      </c>
      <c r="J46" s="19"/>
    </row>
    <row r="47" spans="1:10" ht="20.100000000000001" customHeight="1" x14ac:dyDescent="0.35">
      <c r="A47" s="20" t="s">
        <v>65</v>
      </c>
      <c r="B47" s="22" t="s">
        <v>43</v>
      </c>
      <c r="C47" s="19" t="s">
        <v>12</v>
      </c>
      <c r="D47" s="15">
        <v>9408</v>
      </c>
      <c r="E47" s="32">
        <v>11.387</v>
      </c>
      <c r="F47" s="15">
        <v>0</v>
      </c>
      <c r="G47" s="15">
        <v>0</v>
      </c>
      <c r="H47" s="15">
        <v>0</v>
      </c>
      <c r="I47" s="14" t="s">
        <v>81</v>
      </c>
      <c r="J47" s="19"/>
    </row>
    <row r="48" spans="1:10" ht="20.100000000000001" customHeight="1" x14ac:dyDescent="0.35">
      <c r="A48" s="20" t="s">
        <v>65</v>
      </c>
      <c r="B48" s="21" t="s">
        <v>44</v>
      </c>
      <c r="C48" s="19" t="s">
        <v>41</v>
      </c>
      <c r="D48" s="15">
        <v>11700</v>
      </c>
      <c r="E48" s="45">
        <v>4.4249999999999998</v>
      </c>
      <c r="F48" s="15">
        <v>0</v>
      </c>
      <c r="G48" s="15">
        <v>0</v>
      </c>
      <c r="H48" s="15">
        <v>0</v>
      </c>
      <c r="I48" s="14" t="s">
        <v>81</v>
      </c>
      <c r="J48" s="19"/>
    </row>
    <row r="49" spans="1:10" ht="20.100000000000001" customHeight="1" x14ac:dyDescent="0.35">
      <c r="A49" s="20" t="s">
        <v>22</v>
      </c>
      <c r="B49" s="9" t="s">
        <v>43</v>
      </c>
      <c r="C49" s="19" t="s">
        <v>12</v>
      </c>
      <c r="D49" s="15">
        <v>13440</v>
      </c>
      <c r="E49" s="32">
        <v>10.210000000000001</v>
      </c>
      <c r="F49" s="15"/>
      <c r="G49" s="15"/>
      <c r="H49" s="15"/>
      <c r="I49" s="10" t="s">
        <v>82</v>
      </c>
      <c r="J49" s="22"/>
    </row>
    <row r="50" spans="1:10" ht="20.100000000000001" customHeight="1" x14ac:dyDescent="0.35">
      <c r="A50" s="20" t="s">
        <v>22</v>
      </c>
      <c r="B50" s="9" t="s">
        <v>43</v>
      </c>
      <c r="C50" s="19" t="s">
        <v>12</v>
      </c>
      <c r="D50" s="15">
        <v>26880</v>
      </c>
      <c r="E50" s="32">
        <v>10.210000000000001</v>
      </c>
      <c r="F50" s="15"/>
      <c r="G50" s="15"/>
      <c r="H50" s="15"/>
      <c r="I50" s="10" t="s">
        <v>82</v>
      </c>
      <c r="J50" s="22"/>
    </row>
    <row r="51" spans="1:10" ht="20.100000000000001" customHeight="1" x14ac:dyDescent="0.35">
      <c r="A51" s="20" t="s">
        <v>66</v>
      </c>
      <c r="B51" s="21" t="s">
        <v>45</v>
      </c>
      <c r="C51" s="19" t="s">
        <v>15</v>
      </c>
      <c r="D51" s="15">
        <v>10800</v>
      </c>
      <c r="E51" s="32">
        <v>10.15</v>
      </c>
      <c r="F51" s="15">
        <v>0</v>
      </c>
      <c r="G51" s="15">
        <v>0</v>
      </c>
      <c r="H51" s="15">
        <v>0</v>
      </c>
      <c r="I51" s="10" t="s">
        <v>80</v>
      </c>
      <c r="J51" s="19"/>
    </row>
    <row r="52" spans="1:10" ht="20.100000000000001" customHeight="1" x14ac:dyDescent="0.35">
      <c r="A52" s="20" t="s">
        <v>66</v>
      </c>
      <c r="B52" s="21" t="s">
        <v>45</v>
      </c>
      <c r="C52" s="10" t="s">
        <v>15</v>
      </c>
      <c r="D52" s="15">
        <v>900</v>
      </c>
      <c r="E52" s="32">
        <v>10.15</v>
      </c>
      <c r="F52" s="15">
        <v>0</v>
      </c>
      <c r="G52" s="15">
        <v>0</v>
      </c>
      <c r="H52" s="15">
        <v>0</v>
      </c>
      <c r="I52" s="10" t="s">
        <v>80</v>
      </c>
      <c r="J52" s="19"/>
    </row>
    <row r="53" spans="1:10" ht="20.100000000000001" customHeight="1" x14ac:dyDescent="0.35">
      <c r="A53" s="20" t="s">
        <v>23</v>
      </c>
      <c r="B53" s="22" t="s">
        <v>43</v>
      </c>
      <c r="C53" s="19" t="s">
        <v>12</v>
      </c>
      <c r="D53" s="15">
        <v>41760</v>
      </c>
      <c r="E53" s="32">
        <v>10.210000000000001</v>
      </c>
      <c r="F53" s="15"/>
      <c r="G53" s="15"/>
      <c r="H53" s="15"/>
      <c r="I53" s="10" t="s">
        <v>82</v>
      </c>
      <c r="J53" s="22"/>
    </row>
    <row r="54" spans="1:10" ht="20.100000000000001" customHeight="1" x14ac:dyDescent="0.35">
      <c r="A54" s="51" t="s">
        <v>78</v>
      </c>
      <c r="B54" s="52"/>
      <c r="C54" s="53"/>
      <c r="D54" s="16">
        <f>SUM(D34:D53)</f>
        <v>320400</v>
      </c>
      <c r="E54" s="16"/>
      <c r="F54" s="16"/>
      <c r="G54" s="16"/>
      <c r="H54" s="16"/>
      <c r="I54" s="26"/>
      <c r="J54" s="30"/>
    </row>
    <row r="55" spans="1:10" ht="20.100000000000001" customHeight="1" x14ac:dyDescent="0.35">
      <c r="A55" s="20" t="s">
        <v>24</v>
      </c>
      <c r="B55" s="22" t="s">
        <v>43</v>
      </c>
      <c r="C55" s="10" t="s">
        <v>12</v>
      </c>
      <c r="D55" s="15">
        <v>41760</v>
      </c>
      <c r="E55" s="32">
        <v>10.210000000000001</v>
      </c>
      <c r="F55" s="15"/>
      <c r="G55" s="15"/>
      <c r="H55" s="15"/>
      <c r="I55" s="10" t="s">
        <v>82</v>
      </c>
      <c r="J55" s="22"/>
    </row>
    <row r="56" spans="1:10" ht="20.100000000000001" customHeight="1" x14ac:dyDescent="0.35">
      <c r="A56" s="20" t="s">
        <v>25</v>
      </c>
      <c r="B56" s="22" t="s">
        <v>43</v>
      </c>
      <c r="C56" s="19" t="s">
        <v>12</v>
      </c>
      <c r="D56" s="15">
        <v>60024</v>
      </c>
      <c r="E56" s="32">
        <v>10.210000000000001</v>
      </c>
      <c r="F56" s="15"/>
      <c r="G56" s="15"/>
      <c r="H56" s="15"/>
      <c r="I56" s="10" t="s">
        <v>82</v>
      </c>
      <c r="J56" s="22"/>
    </row>
    <row r="57" spans="1:10" ht="20.100000000000001" customHeight="1" x14ac:dyDescent="0.35">
      <c r="A57" s="20" t="s">
        <v>26</v>
      </c>
      <c r="B57" s="22" t="s">
        <v>43</v>
      </c>
      <c r="C57" s="19" t="s">
        <v>12</v>
      </c>
      <c r="D57" s="15">
        <v>39528</v>
      </c>
      <c r="E57" s="32">
        <v>10.210000000000001</v>
      </c>
      <c r="F57" s="15"/>
      <c r="G57" s="15"/>
      <c r="H57" s="15"/>
      <c r="I57" s="10" t="s">
        <v>82</v>
      </c>
      <c r="J57" s="22"/>
    </row>
    <row r="58" spans="1:10" ht="20.100000000000001" customHeight="1" x14ac:dyDescent="0.35">
      <c r="A58" s="20" t="s">
        <v>27</v>
      </c>
      <c r="B58" s="9" t="s">
        <v>43</v>
      </c>
      <c r="C58" s="19" t="s">
        <v>12</v>
      </c>
      <c r="D58" s="15">
        <v>21960</v>
      </c>
      <c r="E58" s="32">
        <v>10.210000000000001</v>
      </c>
      <c r="F58" s="15"/>
      <c r="G58" s="15"/>
      <c r="H58" s="15"/>
      <c r="I58" s="10" t="s">
        <v>82</v>
      </c>
      <c r="J58" s="22"/>
    </row>
    <row r="59" spans="1:10" ht="20.100000000000001" customHeight="1" x14ac:dyDescent="0.35">
      <c r="A59" s="20" t="s">
        <v>28</v>
      </c>
      <c r="B59" s="22" t="s">
        <v>43</v>
      </c>
      <c r="C59" s="10" t="s">
        <v>12</v>
      </c>
      <c r="D59" s="15">
        <v>29280</v>
      </c>
      <c r="E59" s="32">
        <v>10.210000000000001</v>
      </c>
      <c r="F59" s="15"/>
      <c r="G59" s="15"/>
      <c r="H59" s="15"/>
      <c r="I59" s="10" t="s">
        <v>82</v>
      </c>
      <c r="J59" s="22"/>
    </row>
    <row r="60" spans="1:10" ht="20.100000000000001" customHeight="1" x14ac:dyDescent="0.35">
      <c r="A60" s="20" t="s">
        <v>68</v>
      </c>
      <c r="B60" s="22" t="s">
        <v>43</v>
      </c>
      <c r="C60" s="10" t="s">
        <v>12</v>
      </c>
      <c r="D60" s="15">
        <v>24192</v>
      </c>
      <c r="E60" s="32">
        <v>11.387</v>
      </c>
      <c r="F60" s="15">
        <v>0</v>
      </c>
      <c r="G60" s="15">
        <v>0</v>
      </c>
      <c r="H60" s="15">
        <v>0</v>
      </c>
      <c r="I60" s="14" t="s">
        <v>81</v>
      </c>
      <c r="J60" s="19"/>
    </row>
    <row r="61" spans="1:10" ht="20.100000000000001" customHeight="1" x14ac:dyDescent="0.35">
      <c r="A61" s="20" t="s">
        <v>69</v>
      </c>
      <c r="B61" s="21" t="s">
        <v>45</v>
      </c>
      <c r="C61" s="19" t="s">
        <v>15</v>
      </c>
      <c r="D61" s="15">
        <v>11700</v>
      </c>
      <c r="E61" s="32">
        <v>10.15</v>
      </c>
      <c r="F61" s="15">
        <v>0</v>
      </c>
      <c r="G61" s="15">
        <v>0</v>
      </c>
      <c r="H61" s="15">
        <v>0</v>
      </c>
      <c r="I61" s="10" t="s">
        <v>80</v>
      </c>
      <c r="J61" s="19"/>
    </row>
    <row r="62" spans="1:10" ht="20.100000000000001" customHeight="1" x14ac:dyDescent="0.35">
      <c r="A62" s="20" t="s">
        <v>29</v>
      </c>
      <c r="B62" s="9" t="s">
        <v>43</v>
      </c>
      <c r="C62" s="19" t="s">
        <v>12</v>
      </c>
      <c r="D62" s="15">
        <v>43920</v>
      </c>
      <c r="E62" s="32">
        <v>10.210000000000001</v>
      </c>
      <c r="F62" s="15"/>
      <c r="G62" s="15"/>
      <c r="H62" s="15"/>
      <c r="I62" s="10" t="s">
        <v>82</v>
      </c>
      <c r="J62" s="22"/>
    </row>
    <row r="63" spans="1:10" ht="20.100000000000001" customHeight="1" x14ac:dyDescent="0.35">
      <c r="A63" s="20" t="s">
        <v>30</v>
      </c>
      <c r="B63" s="22" t="s">
        <v>43</v>
      </c>
      <c r="C63" s="19" t="s">
        <v>12</v>
      </c>
      <c r="D63" s="15">
        <v>43920</v>
      </c>
      <c r="E63" s="32">
        <v>10.210000000000001</v>
      </c>
      <c r="F63" s="15"/>
      <c r="G63" s="15"/>
      <c r="H63" s="15"/>
      <c r="I63" s="10" t="s">
        <v>82</v>
      </c>
      <c r="J63" s="22"/>
    </row>
    <row r="64" spans="1:10" ht="20.100000000000001" customHeight="1" x14ac:dyDescent="0.35">
      <c r="A64" s="20" t="s">
        <v>70</v>
      </c>
      <c r="B64" s="22" t="s">
        <v>43</v>
      </c>
      <c r="C64" s="10" t="s">
        <v>12</v>
      </c>
      <c r="D64" s="15">
        <v>24192</v>
      </c>
      <c r="E64" s="32">
        <v>11.387</v>
      </c>
      <c r="F64" s="15">
        <v>0</v>
      </c>
      <c r="G64" s="15">
        <v>0</v>
      </c>
      <c r="H64" s="15">
        <v>0</v>
      </c>
      <c r="I64" s="14" t="s">
        <v>81</v>
      </c>
      <c r="J64" s="19"/>
    </row>
    <row r="65" spans="1:10" ht="20.100000000000001" customHeight="1" x14ac:dyDescent="0.35">
      <c r="A65" s="20" t="s">
        <v>31</v>
      </c>
      <c r="B65" s="22" t="s">
        <v>43</v>
      </c>
      <c r="C65" s="19" t="s">
        <v>12</v>
      </c>
      <c r="D65" s="15">
        <v>43920</v>
      </c>
      <c r="E65" s="32">
        <v>10.210000000000001</v>
      </c>
      <c r="F65" s="15"/>
      <c r="G65" s="15"/>
      <c r="H65" s="15"/>
      <c r="I65" s="10" t="s">
        <v>82</v>
      </c>
      <c r="J65" s="22"/>
    </row>
    <row r="66" spans="1:10" ht="20.100000000000001" customHeight="1" x14ac:dyDescent="0.35">
      <c r="A66" s="20" t="s">
        <v>31</v>
      </c>
      <c r="B66" s="22" t="s">
        <v>43</v>
      </c>
      <c r="C66" s="10" t="s">
        <v>12</v>
      </c>
      <c r="D66" s="15">
        <v>14640</v>
      </c>
      <c r="E66" s="32">
        <v>10.210000000000001</v>
      </c>
      <c r="F66" s="15"/>
      <c r="G66" s="15"/>
      <c r="H66" s="15"/>
      <c r="I66" s="10" t="s">
        <v>82</v>
      </c>
      <c r="J66" s="22"/>
    </row>
    <row r="67" spans="1:10" ht="20.100000000000001" customHeight="1" x14ac:dyDescent="0.35">
      <c r="A67" s="20" t="s">
        <v>71</v>
      </c>
      <c r="B67" s="21" t="s">
        <v>44</v>
      </c>
      <c r="C67" s="10" t="s">
        <v>41</v>
      </c>
      <c r="D67" s="15">
        <v>40320</v>
      </c>
      <c r="E67" s="32">
        <v>4.5430000000000001</v>
      </c>
      <c r="F67" s="15">
        <v>0</v>
      </c>
      <c r="G67" s="15">
        <v>0</v>
      </c>
      <c r="H67" s="15">
        <v>0</v>
      </c>
      <c r="I67" s="10" t="s">
        <v>80</v>
      </c>
      <c r="J67" s="19"/>
    </row>
    <row r="68" spans="1:10" ht="20.100000000000001" customHeight="1" x14ac:dyDescent="0.35">
      <c r="A68" s="20" t="s">
        <v>71</v>
      </c>
      <c r="B68" s="23" t="s">
        <v>45</v>
      </c>
      <c r="C68" s="19" t="s">
        <v>15</v>
      </c>
      <c r="D68" s="15">
        <v>23400</v>
      </c>
      <c r="E68" s="32">
        <v>10.15</v>
      </c>
      <c r="F68" s="15">
        <v>0</v>
      </c>
      <c r="G68" s="15">
        <v>0</v>
      </c>
      <c r="H68" s="15">
        <v>0</v>
      </c>
      <c r="I68" s="10" t="s">
        <v>80</v>
      </c>
      <c r="J68" s="19"/>
    </row>
    <row r="69" spans="1:10" ht="20.100000000000001" customHeight="1" x14ac:dyDescent="0.35">
      <c r="A69" s="20" t="s">
        <v>32</v>
      </c>
      <c r="B69" s="22" t="s">
        <v>43</v>
      </c>
      <c r="C69" s="19" t="s">
        <v>12</v>
      </c>
      <c r="D69" s="15">
        <v>13176</v>
      </c>
      <c r="E69" s="32">
        <v>10.210000000000001</v>
      </c>
      <c r="F69" s="15"/>
      <c r="G69" s="15"/>
      <c r="H69" s="15"/>
      <c r="I69" s="10" t="s">
        <v>82</v>
      </c>
      <c r="J69" s="22"/>
    </row>
    <row r="70" spans="1:10" ht="20.100000000000001" customHeight="1" x14ac:dyDescent="0.35">
      <c r="A70" s="20" t="s">
        <v>33</v>
      </c>
      <c r="B70" s="22" t="s">
        <v>43</v>
      </c>
      <c r="C70" s="10" t="s">
        <v>12</v>
      </c>
      <c r="D70" s="15">
        <v>40260</v>
      </c>
      <c r="E70" s="32">
        <v>10.210000000000001</v>
      </c>
      <c r="F70" s="15"/>
      <c r="G70" s="15"/>
      <c r="H70" s="15"/>
      <c r="I70" s="10" t="s">
        <v>82</v>
      </c>
      <c r="J70" s="22"/>
    </row>
    <row r="71" spans="1:10" ht="20.100000000000001" customHeight="1" x14ac:dyDescent="0.35">
      <c r="A71" s="20" t="s">
        <v>33</v>
      </c>
      <c r="B71" s="9" t="s">
        <v>45</v>
      </c>
      <c r="C71" s="19" t="s">
        <v>15</v>
      </c>
      <c r="D71" s="15">
        <v>3660</v>
      </c>
      <c r="E71" s="32">
        <v>10.210000000000001</v>
      </c>
      <c r="F71" s="15"/>
      <c r="G71" s="15"/>
      <c r="H71" s="15"/>
      <c r="I71" s="10" t="s">
        <v>82</v>
      </c>
      <c r="J71" s="22"/>
    </row>
    <row r="72" spans="1:10" ht="20.100000000000001" customHeight="1" x14ac:dyDescent="0.35">
      <c r="A72" s="20" t="s">
        <v>34</v>
      </c>
      <c r="B72" s="22" t="s">
        <v>43</v>
      </c>
      <c r="C72" s="19" t="s">
        <v>12</v>
      </c>
      <c r="D72" s="15">
        <v>29280</v>
      </c>
      <c r="E72" s="32">
        <v>10.210000000000001</v>
      </c>
      <c r="F72" s="15"/>
      <c r="G72" s="15"/>
      <c r="H72" s="15"/>
      <c r="I72" s="10" t="s">
        <v>82</v>
      </c>
      <c r="J72" s="22"/>
    </row>
    <row r="73" spans="1:10" ht="20.100000000000001" customHeight="1" x14ac:dyDescent="0.35">
      <c r="A73" s="20" t="s">
        <v>72</v>
      </c>
      <c r="B73" s="22" t="s">
        <v>43</v>
      </c>
      <c r="C73" s="10" t="s">
        <v>12</v>
      </c>
      <c r="D73" s="15">
        <v>24192</v>
      </c>
      <c r="E73" s="32">
        <v>11.387</v>
      </c>
      <c r="F73" s="15">
        <v>0</v>
      </c>
      <c r="G73" s="15">
        <v>0</v>
      </c>
      <c r="H73" s="15">
        <v>0</v>
      </c>
      <c r="I73" s="14" t="s">
        <v>81</v>
      </c>
      <c r="J73" s="19"/>
    </row>
    <row r="74" spans="1:10" ht="20.100000000000001" customHeight="1" x14ac:dyDescent="0.35">
      <c r="A74" s="20" t="s">
        <v>72</v>
      </c>
      <c r="B74" s="21" t="s">
        <v>44</v>
      </c>
      <c r="C74" s="10" t="s">
        <v>41</v>
      </c>
      <c r="D74" s="15">
        <v>37800</v>
      </c>
      <c r="E74" s="45">
        <v>4.4249999999999998</v>
      </c>
      <c r="F74" s="15">
        <v>0</v>
      </c>
      <c r="G74" s="15">
        <v>0</v>
      </c>
      <c r="H74" s="15">
        <v>0</v>
      </c>
      <c r="I74" s="14" t="s">
        <v>81</v>
      </c>
      <c r="J74" s="19"/>
    </row>
    <row r="75" spans="1:10" ht="20.100000000000001" customHeight="1" x14ac:dyDescent="0.35">
      <c r="A75" s="20" t="s">
        <v>35</v>
      </c>
      <c r="B75" s="22" t="s">
        <v>43</v>
      </c>
      <c r="C75" s="19" t="s">
        <v>12</v>
      </c>
      <c r="D75" s="15">
        <v>29280</v>
      </c>
      <c r="E75" s="32">
        <v>10.210000000000001</v>
      </c>
      <c r="F75" s="15"/>
      <c r="G75" s="15"/>
      <c r="H75" s="15"/>
      <c r="I75" s="10" t="s">
        <v>82</v>
      </c>
      <c r="J75" s="22"/>
    </row>
    <row r="76" spans="1:10" ht="20.100000000000001" customHeight="1" x14ac:dyDescent="0.35">
      <c r="A76" s="48" t="s">
        <v>67</v>
      </c>
      <c r="B76" s="49"/>
      <c r="C76" s="50"/>
      <c r="D76" s="16">
        <f>SUM(D55:D75)</f>
        <v>640404</v>
      </c>
      <c r="E76" s="16">
        <v>0</v>
      </c>
      <c r="F76" s="16">
        <v>0</v>
      </c>
      <c r="G76" s="16">
        <v>0</v>
      </c>
      <c r="H76" s="16">
        <v>0</v>
      </c>
      <c r="I76" s="17"/>
      <c r="J76" s="17"/>
    </row>
    <row r="77" spans="1:10" ht="20.100000000000001" customHeight="1" x14ac:dyDescent="0.35">
      <c r="A77" s="20" t="s">
        <v>74</v>
      </c>
      <c r="B77" s="21" t="s">
        <v>45</v>
      </c>
      <c r="C77" s="19" t="s">
        <v>15</v>
      </c>
      <c r="D77" s="15">
        <v>11916</v>
      </c>
      <c r="E77" s="32">
        <v>10.15</v>
      </c>
      <c r="F77" s="15">
        <v>0</v>
      </c>
      <c r="G77" s="15">
        <v>0</v>
      </c>
      <c r="H77" s="15">
        <v>0</v>
      </c>
      <c r="I77" s="10" t="s">
        <v>80</v>
      </c>
      <c r="J77" s="19"/>
    </row>
    <row r="78" spans="1:10" ht="20.100000000000001" customHeight="1" x14ac:dyDescent="0.35">
      <c r="A78" s="20" t="s">
        <v>36</v>
      </c>
      <c r="B78" s="22" t="s">
        <v>45</v>
      </c>
      <c r="C78" s="10" t="s">
        <v>15</v>
      </c>
      <c r="D78" s="15">
        <v>25620</v>
      </c>
      <c r="E78" s="32">
        <v>10.210000000000001</v>
      </c>
      <c r="F78" s="15"/>
      <c r="G78" s="15"/>
      <c r="H78" s="15"/>
      <c r="I78" s="10" t="s">
        <v>82</v>
      </c>
      <c r="J78" s="22"/>
    </row>
    <row r="79" spans="1:10" ht="20.100000000000001" customHeight="1" x14ac:dyDescent="0.35">
      <c r="A79" s="20" t="s">
        <v>36</v>
      </c>
      <c r="B79" s="9" t="s">
        <v>43</v>
      </c>
      <c r="C79" s="19" t="s">
        <v>12</v>
      </c>
      <c r="D79" s="15">
        <v>732</v>
      </c>
      <c r="E79" s="32">
        <v>10.210000000000001</v>
      </c>
      <c r="F79" s="15"/>
      <c r="G79" s="15"/>
      <c r="H79" s="15"/>
      <c r="I79" s="10" t="s">
        <v>82</v>
      </c>
      <c r="J79" s="22"/>
    </row>
    <row r="80" spans="1:10" ht="20.100000000000001" customHeight="1" x14ac:dyDescent="0.35">
      <c r="A80" s="20" t="s">
        <v>75</v>
      </c>
      <c r="B80" s="21" t="s">
        <v>45</v>
      </c>
      <c r="C80" s="19" t="s">
        <v>15</v>
      </c>
      <c r="D80" s="15">
        <v>12204</v>
      </c>
      <c r="E80" s="32">
        <v>10.15</v>
      </c>
      <c r="F80" s="15">
        <v>0</v>
      </c>
      <c r="G80" s="15">
        <v>0</v>
      </c>
      <c r="H80" s="15">
        <v>0</v>
      </c>
      <c r="I80" s="10" t="s">
        <v>80</v>
      </c>
      <c r="J80" s="19"/>
    </row>
    <row r="81" spans="1:10" ht="20.100000000000001" customHeight="1" x14ac:dyDescent="0.35">
      <c r="A81" s="48" t="s">
        <v>73</v>
      </c>
      <c r="B81" s="49"/>
      <c r="C81" s="50"/>
      <c r="D81" s="16">
        <f>SUM(D77:D80)</f>
        <v>50472</v>
      </c>
      <c r="E81" s="16">
        <v>0</v>
      </c>
      <c r="F81" s="16">
        <v>0</v>
      </c>
      <c r="G81" s="16">
        <v>0</v>
      </c>
      <c r="H81" s="16">
        <v>0</v>
      </c>
      <c r="I81" s="17"/>
      <c r="J81" s="17"/>
    </row>
    <row r="82" spans="1:10" ht="20.100000000000001" customHeight="1" x14ac:dyDescent="0.35">
      <c r="A82" s="20" t="s">
        <v>37</v>
      </c>
      <c r="B82" s="22" t="s">
        <v>43</v>
      </c>
      <c r="C82" s="10" t="s">
        <v>12</v>
      </c>
      <c r="D82" s="15">
        <v>14640</v>
      </c>
      <c r="E82" s="32">
        <v>10.210000000000001</v>
      </c>
      <c r="F82" s="15"/>
      <c r="G82" s="15"/>
      <c r="H82" s="15"/>
      <c r="I82" s="10" t="s">
        <v>82</v>
      </c>
      <c r="J82" s="22"/>
    </row>
    <row r="83" spans="1:10" ht="20.100000000000001" customHeight="1" x14ac:dyDescent="0.35">
      <c r="A83" s="20" t="s">
        <v>76</v>
      </c>
      <c r="B83" s="22" t="s">
        <v>43</v>
      </c>
      <c r="C83" s="19" t="s">
        <v>12</v>
      </c>
      <c r="D83" s="15">
        <v>16800</v>
      </c>
      <c r="E83" s="32">
        <v>11.387</v>
      </c>
      <c r="F83" s="15">
        <v>0</v>
      </c>
      <c r="G83" s="15">
        <v>0</v>
      </c>
      <c r="H83" s="15">
        <v>0</v>
      </c>
      <c r="I83" s="14" t="s">
        <v>81</v>
      </c>
      <c r="J83" s="19"/>
    </row>
    <row r="84" spans="1:10" ht="20.100000000000001" customHeight="1" x14ac:dyDescent="0.35">
      <c r="A84" s="8" t="s">
        <v>76</v>
      </c>
      <c r="B84" s="23" t="s">
        <v>44</v>
      </c>
      <c r="C84" s="19" t="s">
        <v>41</v>
      </c>
      <c r="D84" s="15">
        <v>23100</v>
      </c>
      <c r="E84" s="45">
        <v>4.4249999999999998</v>
      </c>
      <c r="F84" s="15">
        <v>0</v>
      </c>
      <c r="G84" s="15">
        <v>0</v>
      </c>
      <c r="H84" s="15">
        <v>0</v>
      </c>
      <c r="I84" s="14" t="s">
        <v>81</v>
      </c>
      <c r="J84" s="19"/>
    </row>
    <row r="85" spans="1:10" ht="20.100000000000001" customHeight="1" x14ac:dyDescent="0.35">
      <c r="A85" s="20" t="s">
        <v>38</v>
      </c>
      <c r="B85" s="22" t="s">
        <v>43</v>
      </c>
      <c r="C85" s="19" t="s">
        <v>12</v>
      </c>
      <c r="D85" s="15">
        <v>29280</v>
      </c>
      <c r="E85" s="32">
        <v>10.210000000000001</v>
      </c>
      <c r="F85" s="15"/>
      <c r="G85" s="15"/>
      <c r="H85" s="15"/>
      <c r="I85" s="10" t="s">
        <v>82</v>
      </c>
      <c r="J85" s="22"/>
    </row>
    <row r="86" spans="1:10" ht="20.100000000000001" customHeight="1" x14ac:dyDescent="0.35">
      <c r="A86" s="20" t="s">
        <v>39</v>
      </c>
      <c r="B86" s="22" t="s">
        <v>43</v>
      </c>
      <c r="C86" s="19" t="s">
        <v>12</v>
      </c>
      <c r="D86" s="15">
        <v>14640</v>
      </c>
      <c r="E86" s="32">
        <v>10.210000000000001</v>
      </c>
      <c r="F86" s="15"/>
      <c r="G86" s="15"/>
      <c r="H86" s="15"/>
      <c r="I86" s="10" t="s">
        <v>82</v>
      </c>
      <c r="J86" s="22"/>
    </row>
    <row r="87" spans="1:10" ht="20.100000000000001" customHeight="1" x14ac:dyDescent="0.35">
      <c r="A87" s="51" t="s">
        <v>40</v>
      </c>
      <c r="B87" s="52"/>
      <c r="C87" s="53"/>
      <c r="D87" s="16">
        <f>SUM(D82:D86)</f>
        <v>98460</v>
      </c>
      <c r="E87" s="16"/>
      <c r="F87" s="16"/>
      <c r="G87" s="16"/>
      <c r="H87" s="16"/>
      <c r="I87" s="26"/>
      <c r="J87" s="30"/>
    </row>
  </sheetData>
  <autoFilter ref="A4:L87" xr:uid="{00000000-0009-0000-0000-000000000000}">
    <sortState ref="A3:L85">
      <sortCondition ref="A2:A84"/>
    </sortState>
  </autoFilter>
  <mergeCells count="9">
    <mergeCell ref="A1:J1"/>
    <mergeCell ref="A81:C81"/>
    <mergeCell ref="A87:C87"/>
    <mergeCell ref="A76:C76"/>
    <mergeCell ref="A54:C54"/>
    <mergeCell ref="A12:C12"/>
    <mergeCell ref="A14:C14"/>
    <mergeCell ref="A33:C33"/>
    <mergeCell ref="A20:C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1"/>
  <sheetViews>
    <sheetView workbookViewId="0">
      <selection activeCell="H23" sqref="H23"/>
    </sheetView>
  </sheetViews>
  <sheetFormatPr defaultColWidth="9.109375" defaultRowHeight="20.100000000000001" customHeight="1" x14ac:dyDescent="0.35"/>
  <cols>
    <col min="1" max="1" width="13.88671875" style="46" customWidth="1"/>
    <col min="2" max="2" width="16" style="34" customWidth="1"/>
    <col min="3" max="3" width="41.44140625" style="34" customWidth="1"/>
    <col min="4" max="4" width="14.109375" style="34" bestFit="1" customWidth="1"/>
    <col min="5" max="5" width="10.88671875" style="34" bestFit="1" customWidth="1"/>
    <col min="6" max="6" width="19.88671875" style="34" bestFit="1" customWidth="1"/>
    <col min="7" max="7" width="17.33203125" style="34" bestFit="1" customWidth="1"/>
    <col min="8" max="8" width="19.88671875" style="34" bestFit="1" customWidth="1"/>
    <col min="9" max="9" width="25.6640625" style="34" customWidth="1"/>
    <col min="10" max="10" width="35.5546875" style="34" customWidth="1"/>
    <col min="11" max="11" width="18.44140625" style="34" customWidth="1"/>
    <col min="12" max="16384" width="9.109375" style="34"/>
  </cols>
  <sheetData>
    <row r="1" spans="1:11" s="2" customFormat="1" ht="36" customHeight="1" x14ac:dyDescent="0.35">
      <c r="A1" s="47" t="s">
        <v>566</v>
      </c>
      <c r="B1" s="47"/>
      <c r="C1" s="47"/>
      <c r="D1" s="47"/>
      <c r="E1" s="47"/>
      <c r="F1" s="47"/>
      <c r="G1" s="47"/>
      <c r="H1" s="47"/>
      <c r="I1" s="47"/>
      <c r="J1" s="47"/>
    </row>
    <row r="2" spans="1:11" s="2" customFormat="1" ht="20.100000000000001" customHeight="1" x14ac:dyDescent="0.35"/>
    <row r="3" spans="1:11" ht="20.100000000000001" customHeight="1" x14ac:dyDescent="0.35">
      <c r="A3" s="33" t="s">
        <v>473</v>
      </c>
      <c r="B3" s="33"/>
    </row>
    <row r="4" spans="1:11" ht="20.100000000000001" customHeight="1" x14ac:dyDescent="0.35">
      <c r="A4" s="35" t="s">
        <v>85</v>
      </c>
      <c r="B4" s="35"/>
      <c r="C4" s="35" t="s">
        <v>86</v>
      </c>
      <c r="D4" s="35" t="s">
        <v>3</v>
      </c>
      <c r="E4" s="35" t="s">
        <v>4</v>
      </c>
      <c r="F4" s="35" t="s">
        <v>5</v>
      </c>
      <c r="G4" s="35" t="s">
        <v>6</v>
      </c>
      <c r="H4" s="35" t="s">
        <v>87</v>
      </c>
      <c r="I4" s="35" t="s">
        <v>88</v>
      </c>
      <c r="J4" s="35" t="s">
        <v>9</v>
      </c>
      <c r="K4" s="35" t="s">
        <v>10</v>
      </c>
    </row>
    <row r="5" spans="1:11" ht="20.100000000000001" customHeight="1" x14ac:dyDescent="0.35">
      <c r="A5" s="35" t="s">
        <v>283</v>
      </c>
      <c r="B5" s="36" t="s">
        <v>45</v>
      </c>
      <c r="C5" s="37" t="s">
        <v>15</v>
      </c>
      <c r="D5" s="38">
        <v>20</v>
      </c>
      <c r="E5" s="38">
        <v>2264</v>
      </c>
      <c r="F5" s="38">
        <v>45272</v>
      </c>
      <c r="G5" s="38">
        <v>4528</v>
      </c>
      <c r="H5" s="38">
        <v>49800</v>
      </c>
      <c r="I5" s="39" t="s">
        <v>89</v>
      </c>
      <c r="J5" s="39" t="s">
        <v>90</v>
      </c>
      <c r="K5" s="35" t="s">
        <v>91</v>
      </c>
    </row>
    <row r="6" spans="1:11" ht="20.100000000000001" customHeight="1" x14ac:dyDescent="0.35">
      <c r="A6" s="35" t="s">
        <v>284</v>
      </c>
      <c r="B6" s="40" t="s">
        <v>44</v>
      </c>
      <c r="C6" s="39" t="s">
        <v>41</v>
      </c>
      <c r="D6" s="38">
        <v>30</v>
      </c>
      <c r="E6" s="38">
        <v>1111</v>
      </c>
      <c r="F6" s="38">
        <v>33333</v>
      </c>
      <c r="G6" s="38">
        <v>3333</v>
      </c>
      <c r="H6" s="38">
        <v>36666</v>
      </c>
      <c r="I6" s="39" t="s">
        <v>89</v>
      </c>
      <c r="J6" s="39" t="s">
        <v>92</v>
      </c>
      <c r="K6" s="35" t="s">
        <v>93</v>
      </c>
    </row>
    <row r="7" spans="1:11" ht="20.100000000000001" customHeight="1" x14ac:dyDescent="0.35">
      <c r="A7" s="35" t="s">
        <v>285</v>
      </c>
      <c r="B7" s="36" t="s">
        <v>45</v>
      </c>
      <c r="C7" s="37" t="s">
        <v>15</v>
      </c>
      <c r="D7" s="38">
        <v>1195</v>
      </c>
      <c r="E7" s="38">
        <v>280</v>
      </c>
      <c r="F7" s="38">
        <v>334600</v>
      </c>
      <c r="G7" s="38">
        <v>33460</v>
      </c>
      <c r="H7" s="38">
        <v>368060</v>
      </c>
      <c r="I7" s="39" t="s">
        <v>42</v>
      </c>
      <c r="J7" s="39"/>
      <c r="K7" s="35" t="s">
        <v>94</v>
      </c>
    </row>
    <row r="8" spans="1:11" ht="20.100000000000001" customHeight="1" x14ac:dyDescent="0.35">
      <c r="A8" s="54" t="s">
        <v>286</v>
      </c>
      <c r="B8" s="55"/>
      <c r="C8" s="56"/>
      <c r="D8" s="41">
        <f>SUM(D5:D7)</f>
        <v>1245</v>
      </c>
      <c r="E8" s="41">
        <f t="shared" ref="E8:H8" si="0">SUM(E5:E7)</f>
        <v>3655</v>
      </c>
      <c r="F8" s="41">
        <f t="shared" si="0"/>
        <v>413205</v>
      </c>
      <c r="G8" s="41">
        <f t="shared" si="0"/>
        <v>41321</v>
      </c>
      <c r="H8" s="41">
        <f t="shared" si="0"/>
        <v>454526</v>
      </c>
      <c r="I8" s="42"/>
      <c r="J8" s="42"/>
      <c r="K8" s="43"/>
    </row>
    <row r="9" spans="1:11" ht="20.100000000000001" customHeight="1" x14ac:dyDescent="0.35">
      <c r="A9" s="35" t="s">
        <v>287</v>
      </c>
      <c r="B9" s="40" t="s">
        <v>44</v>
      </c>
      <c r="C9" s="39" t="s">
        <v>41</v>
      </c>
      <c r="D9" s="38">
        <v>4</v>
      </c>
      <c r="E9" s="38">
        <v>1369</v>
      </c>
      <c r="F9" s="38">
        <v>5477</v>
      </c>
      <c r="G9" s="38">
        <v>547</v>
      </c>
      <c r="H9" s="38">
        <v>6024</v>
      </c>
      <c r="I9" s="39" t="s">
        <v>89</v>
      </c>
      <c r="J9" s="39" t="s">
        <v>95</v>
      </c>
      <c r="K9" s="35" t="s">
        <v>96</v>
      </c>
    </row>
    <row r="10" spans="1:11" ht="20.100000000000001" customHeight="1" x14ac:dyDescent="0.35">
      <c r="A10" s="54" t="s">
        <v>288</v>
      </c>
      <c r="B10" s="55"/>
      <c r="C10" s="56"/>
      <c r="D10" s="41">
        <f>SUM(D9)</f>
        <v>4</v>
      </c>
      <c r="E10" s="41">
        <f t="shared" ref="E10:H10" si="1">SUM(E9)</f>
        <v>1369</v>
      </c>
      <c r="F10" s="41">
        <f t="shared" si="1"/>
        <v>5477</v>
      </c>
      <c r="G10" s="41">
        <f t="shared" si="1"/>
        <v>547</v>
      </c>
      <c r="H10" s="41">
        <f t="shared" si="1"/>
        <v>6024</v>
      </c>
      <c r="I10" s="42"/>
      <c r="J10" s="42"/>
      <c r="K10" s="43"/>
    </row>
    <row r="11" spans="1:11" ht="20.100000000000001" customHeight="1" x14ac:dyDescent="0.35">
      <c r="A11" s="35" t="s">
        <v>289</v>
      </c>
      <c r="B11" s="40" t="s">
        <v>44</v>
      </c>
      <c r="C11" s="39" t="s">
        <v>41</v>
      </c>
      <c r="D11" s="38">
        <v>10</v>
      </c>
      <c r="E11" s="38">
        <v>1369</v>
      </c>
      <c r="F11" s="38">
        <v>13691</v>
      </c>
      <c r="G11" s="38">
        <v>1369</v>
      </c>
      <c r="H11" s="38">
        <v>15060</v>
      </c>
      <c r="I11" s="39" t="s">
        <v>89</v>
      </c>
      <c r="J11" s="39" t="s">
        <v>97</v>
      </c>
      <c r="K11" s="35" t="s">
        <v>98</v>
      </c>
    </row>
    <row r="12" spans="1:11" ht="20.100000000000001" customHeight="1" x14ac:dyDescent="0.35">
      <c r="A12" s="35" t="s">
        <v>290</v>
      </c>
      <c r="B12" s="40" t="s">
        <v>44</v>
      </c>
      <c r="C12" s="39" t="s">
        <v>41</v>
      </c>
      <c r="D12" s="38">
        <v>20</v>
      </c>
      <c r="E12" s="38">
        <v>1369</v>
      </c>
      <c r="F12" s="38">
        <v>27382</v>
      </c>
      <c r="G12" s="38">
        <v>2738</v>
      </c>
      <c r="H12" s="38">
        <v>30120</v>
      </c>
      <c r="I12" s="39" t="s">
        <v>89</v>
      </c>
      <c r="J12" s="39" t="s">
        <v>97</v>
      </c>
      <c r="K12" s="35" t="s">
        <v>99</v>
      </c>
    </row>
    <row r="13" spans="1:11" ht="20.100000000000001" customHeight="1" x14ac:dyDescent="0.35">
      <c r="A13" s="35" t="s">
        <v>291</v>
      </c>
      <c r="B13" s="44" t="s">
        <v>43</v>
      </c>
      <c r="C13" s="39" t="s">
        <v>12</v>
      </c>
      <c r="D13" s="38">
        <v>2</v>
      </c>
      <c r="E13" s="38">
        <v>2577</v>
      </c>
      <c r="F13" s="38">
        <v>5155</v>
      </c>
      <c r="G13" s="38">
        <v>515</v>
      </c>
      <c r="H13" s="38">
        <v>5670</v>
      </c>
      <c r="I13" s="39" t="s">
        <v>89</v>
      </c>
      <c r="J13" s="39" t="s">
        <v>100</v>
      </c>
      <c r="K13" s="35" t="s">
        <v>101</v>
      </c>
    </row>
    <row r="14" spans="1:11" ht="20.100000000000001" customHeight="1" x14ac:dyDescent="0.35">
      <c r="A14" s="35" t="s">
        <v>292</v>
      </c>
      <c r="B14" s="40" t="s">
        <v>44</v>
      </c>
      <c r="C14" s="39" t="s">
        <v>41</v>
      </c>
      <c r="D14" s="38">
        <v>30</v>
      </c>
      <c r="E14" s="38">
        <v>1369</v>
      </c>
      <c r="F14" s="38">
        <v>41073</v>
      </c>
      <c r="G14" s="38">
        <v>4107</v>
      </c>
      <c r="H14" s="38">
        <v>45180</v>
      </c>
      <c r="I14" s="39" t="s">
        <v>89</v>
      </c>
      <c r="J14" s="39" t="s">
        <v>102</v>
      </c>
      <c r="K14" s="35" t="s">
        <v>103</v>
      </c>
    </row>
    <row r="15" spans="1:11" ht="20.100000000000001" customHeight="1" x14ac:dyDescent="0.35">
      <c r="A15" s="35" t="s">
        <v>293</v>
      </c>
      <c r="B15" s="40" t="s">
        <v>44</v>
      </c>
      <c r="C15" s="39" t="s">
        <v>41</v>
      </c>
      <c r="D15" s="38">
        <v>150</v>
      </c>
      <c r="E15" s="38">
        <v>1369</v>
      </c>
      <c r="F15" s="38">
        <v>205364</v>
      </c>
      <c r="G15" s="38">
        <v>20536</v>
      </c>
      <c r="H15" s="38">
        <v>225900</v>
      </c>
      <c r="I15" s="39" t="s">
        <v>89</v>
      </c>
      <c r="J15" s="39" t="s">
        <v>104</v>
      </c>
      <c r="K15" s="35" t="s">
        <v>105</v>
      </c>
    </row>
    <row r="16" spans="1:11" ht="20.100000000000001" customHeight="1" x14ac:dyDescent="0.35">
      <c r="A16" s="35" t="s">
        <v>294</v>
      </c>
      <c r="B16" s="36" t="s">
        <v>44</v>
      </c>
      <c r="C16" s="37" t="s">
        <v>41</v>
      </c>
      <c r="D16" s="38">
        <v>30</v>
      </c>
      <c r="E16" s="38">
        <v>1369</v>
      </c>
      <c r="F16" s="38">
        <v>41073</v>
      </c>
      <c r="G16" s="38">
        <v>4107</v>
      </c>
      <c r="H16" s="38">
        <v>45180</v>
      </c>
      <c r="I16" s="39" t="s">
        <v>89</v>
      </c>
      <c r="J16" s="39" t="s">
        <v>102</v>
      </c>
      <c r="K16" s="35" t="s">
        <v>106</v>
      </c>
    </row>
    <row r="17" spans="1:11" ht="20.100000000000001" customHeight="1" x14ac:dyDescent="0.35">
      <c r="A17" s="35" t="s">
        <v>295</v>
      </c>
      <c r="B17" s="40" t="s">
        <v>44</v>
      </c>
      <c r="C17" s="39" t="s">
        <v>41</v>
      </c>
      <c r="D17" s="38">
        <v>90</v>
      </c>
      <c r="E17" s="38">
        <v>1369</v>
      </c>
      <c r="F17" s="38">
        <v>123218</v>
      </c>
      <c r="G17" s="38">
        <v>12322</v>
      </c>
      <c r="H17" s="38">
        <v>135540</v>
      </c>
      <c r="I17" s="39" t="s">
        <v>89</v>
      </c>
      <c r="J17" s="39" t="s">
        <v>102</v>
      </c>
      <c r="K17" s="35" t="s">
        <v>107</v>
      </c>
    </row>
    <row r="18" spans="1:11" ht="20.100000000000001" customHeight="1" x14ac:dyDescent="0.35">
      <c r="A18" s="54" t="s">
        <v>296</v>
      </c>
      <c r="B18" s="55"/>
      <c r="C18" s="56"/>
      <c r="D18" s="41">
        <f>SUM(D11:D17)</f>
        <v>332</v>
      </c>
      <c r="E18" s="41">
        <f>SUM(E11:E17)</f>
        <v>10791</v>
      </c>
      <c r="F18" s="41">
        <f>SUM(F11:F17)</f>
        <v>456956</v>
      </c>
      <c r="G18" s="41">
        <f>SUM(G11:G17)</f>
        <v>45694</v>
      </c>
      <c r="H18" s="41">
        <f>SUM(H11:H17)</f>
        <v>502650</v>
      </c>
      <c r="I18" s="42"/>
      <c r="J18" s="42"/>
      <c r="K18" s="43"/>
    </row>
    <row r="19" spans="1:11" ht="20.100000000000001" customHeight="1" x14ac:dyDescent="0.35">
      <c r="A19" s="35" t="s">
        <v>297</v>
      </c>
      <c r="B19" s="44" t="s">
        <v>43</v>
      </c>
      <c r="C19" s="39" t="s">
        <v>12</v>
      </c>
      <c r="D19" s="38">
        <v>1</v>
      </c>
      <c r="E19" s="38">
        <v>0</v>
      </c>
      <c r="F19" s="38">
        <v>0</v>
      </c>
      <c r="G19" s="38">
        <v>0</v>
      </c>
      <c r="H19" s="38">
        <v>0</v>
      </c>
      <c r="I19" s="39" t="s">
        <v>89</v>
      </c>
      <c r="J19" s="39"/>
      <c r="K19" s="35"/>
    </row>
    <row r="20" spans="1:11" ht="20.100000000000001" customHeight="1" x14ac:dyDescent="0.35">
      <c r="A20" s="35" t="s">
        <v>297</v>
      </c>
      <c r="B20" s="36" t="s">
        <v>45</v>
      </c>
      <c r="C20" s="37" t="s">
        <v>15</v>
      </c>
      <c r="D20" s="38">
        <v>1</v>
      </c>
      <c r="E20" s="38">
        <v>0</v>
      </c>
      <c r="F20" s="38">
        <v>0</v>
      </c>
      <c r="G20" s="38">
        <v>0</v>
      </c>
      <c r="H20" s="38">
        <v>0</v>
      </c>
      <c r="I20" s="39" t="s">
        <v>89</v>
      </c>
      <c r="J20" s="39"/>
      <c r="K20" s="35"/>
    </row>
    <row r="21" spans="1:11" ht="20.100000000000001" customHeight="1" x14ac:dyDescent="0.35">
      <c r="A21" s="35" t="s">
        <v>297</v>
      </c>
      <c r="B21" s="40" t="s">
        <v>44</v>
      </c>
      <c r="C21" s="39" t="s">
        <v>41</v>
      </c>
      <c r="D21" s="38">
        <v>1</v>
      </c>
      <c r="E21" s="38">
        <v>0</v>
      </c>
      <c r="F21" s="38">
        <v>0</v>
      </c>
      <c r="G21" s="38">
        <v>0</v>
      </c>
      <c r="H21" s="38">
        <v>0</v>
      </c>
      <c r="I21" s="39" t="s">
        <v>89</v>
      </c>
      <c r="J21" s="39"/>
      <c r="K21" s="35"/>
    </row>
    <row r="22" spans="1:11" ht="20.100000000000001" customHeight="1" x14ac:dyDescent="0.35">
      <c r="A22" s="35" t="s">
        <v>298</v>
      </c>
      <c r="B22" s="40" t="s">
        <v>44</v>
      </c>
      <c r="C22" s="39" t="s">
        <v>41</v>
      </c>
      <c r="D22" s="38">
        <v>30</v>
      </c>
      <c r="E22" s="38">
        <v>1369</v>
      </c>
      <c r="F22" s="38">
        <v>41073</v>
      </c>
      <c r="G22" s="38">
        <v>4107</v>
      </c>
      <c r="H22" s="38">
        <v>45180</v>
      </c>
      <c r="I22" s="39" t="s">
        <v>89</v>
      </c>
      <c r="J22" s="39" t="s">
        <v>108</v>
      </c>
      <c r="K22" s="35" t="s">
        <v>109</v>
      </c>
    </row>
    <row r="23" spans="1:11" ht="20.100000000000001" customHeight="1" x14ac:dyDescent="0.35">
      <c r="A23" s="35" t="s">
        <v>299</v>
      </c>
      <c r="B23" s="40" t="s">
        <v>44</v>
      </c>
      <c r="C23" s="39" t="s">
        <v>41</v>
      </c>
      <c r="D23" s="38">
        <v>120</v>
      </c>
      <c r="E23" s="38">
        <v>1369</v>
      </c>
      <c r="F23" s="38">
        <v>164291</v>
      </c>
      <c r="G23" s="38">
        <v>16429</v>
      </c>
      <c r="H23" s="38">
        <v>180720</v>
      </c>
      <c r="I23" s="39" t="s">
        <v>89</v>
      </c>
      <c r="J23" s="39" t="s">
        <v>108</v>
      </c>
      <c r="K23" s="35" t="s">
        <v>109</v>
      </c>
    </row>
    <row r="24" spans="1:11" ht="20.100000000000001" customHeight="1" x14ac:dyDescent="0.35">
      <c r="A24" s="35" t="s">
        <v>300</v>
      </c>
      <c r="B24" s="36" t="s">
        <v>45</v>
      </c>
      <c r="C24" s="37" t="s">
        <v>15</v>
      </c>
      <c r="D24" s="38">
        <v>240</v>
      </c>
      <c r="E24" s="38">
        <v>2405</v>
      </c>
      <c r="F24" s="38">
        <v>577309</v>
      </c>
      <c r="G24" s="38">
        <v>57731</v>
      </c>
      <c r="H24" s="38">
        <v>635040</v>
      </c>
      <c r="I24" s="39" t="s">
        <v>89</v>
      </c>
      <c r="J24" s="39" t="s">
        <v>100</v>
      </c>
      <c r="K24" s="35" t="s">
        <v>107</v>
      </c>
    </row>
    <row r="25" spans="1:11" ht="20.100000000000001" customHeight="1" x14ac:dyDescent="0.35">
      <c r="A25" s="35" t="s">
        <v>301</v>
      </c>
      <c r="B25" s="40" t="s">
        <v>44</v>
      </c>
      <c r="C25" s="39" t="s">
        <v>41</v>
      </c>
      <c r="D25" s="38">
        <v>720</v>
      </c>
      <c r="E25" s="38">
        <v>1369</v>
      </c>
      <c r="F25" s="38">
        <v>985745</v>
      </c>
      <c r="G25" s="38">
        <v>98575</v>
      </c>
      <c r="H25" s="38">
        <v>1084320</v>
      </c>
      <c r="I25" s="39" t="s">
        <v>89</v>
      </c>
      <c r="J25" s="39" t="s">
        <v>102</v>
      </c>
      <c r="K25" s="35" t="s">
        <v>106</v>
      </c>
    </row>
    <row r="26" spans="1:11" ht="20.100000000000001" customHeight="1" x14ac:dyDescent="0.35">
      <c r="A26" s="35" t="s">
        <v>302</v>
      </c>
      <c r="B26" s="44" t="s">
        <v>43</v>
      </c>
      <c r="C26" s="39" t="s">
        <v>12</v>
      </c>
      <c r="D26" s="38">
        <v>240</v>
      </c>
      <c r="E26" s="38">
        <v>2577</v>
      </c>
      <c r="F26" s="38">
        <v>618546</v>
      </c>
      <c r="G26" s="38">
        <v>61854</v>
      </c>
      <c r="H26" s="38">
        <v>680400</v>
      </c>
      <c r="I26" s="39" t="s">
        <v>89</v>
      </c>
      <c r="J26" s="39" t="s">
        <v>100</v>
      </c>
      <c r="K26" s="35" t="s">
        <v>106</v>
      </c>
    </row>
    <row r="27" spans="1:11" ht="20.100000000000001" customHeight="1" x14ac:dyDescent="0.35">
      <c r="A27" s="35" t="s">
        <v>303</v>
      </c>
      <c r="B27" s="36" t="s">
        <v>45</v>
      </c>
      <c r="C27" s="37" t="s">
        <v>15</v>
      </c>
      <c r="D27" s="38">
        <v>240</v>
      </c>
      <c r="E27" s="38">
        <v>2405</v>
      </c>
      <c r="F27" s="38">
        <v>577309</v>
      </c>
      <c r="G27" s="38">
        <v>57731</v>
      </c>
      <c r="H27" s="38">
        <v>635040</v>
      </c>
      <c r="I27" s="39" t="s">
        <v>89</v>
      </c>
      <c r="J27" s="39" t="s">
        <v>110</v>
      </c>
      <c r="K27" s="35" t="s">
        <v>107</v>
      </c>
    </row>
    <row r="28" spans="1:11" ht="20.100000000000001" customHeight="1" x14ac:dyDescent="0.35">
      <c r="A28" s="35" t="s">
        <v>304</v>
      </c>
      <c r="B28" s="40" t="s">
        <v>44</v>
      </c>
      <c r="C28" s="39" t="s">
        <v>41</v>
      </c>
      <c r="D28" s="38">
        <v>720</v>
      </c>
      <c r="E28" s="38">
        <v>1369</v>
      </c>
      <c r="F28" s="38">
        <v>985746</v>
      </c>
      <c r="G28" s="38">
        <v>98574</v>
      </c>
      <c r="H28" s="38">
        <v>1084320</v>
      </c>
      <c r="I28" s="39" t="s">
        <v>89</v>
      </c>
      <c r="J28" s="39" t="s">
        <v>111</v>
      </c>
      <c r="K28" s="35" t="s">
        <v>107</v>
      </c>
    </row>
    <row r="29" spans="1:11" ht="20.100000000000001" customHeight="1" x14ac:dyDescent="0.35">
      <c r="A29" s="35" t="s">
        <v>305</v>
      </c>
      <c r="B29" s="44" t="s">
        <v>43</v>
      </c>
      <c r="C29" s="39" t="s">
        <v>12</v>
      </c>
      <c r="D29" s="38">
        <v>240</v>
      </c>
      <c r="E29" s="38">
        <v>2577</v>
      </c>
      <c r="F29" s="38">
        <v>618545</v>
      </c>
      <c r="G29" s="38">
        <v>61855</v>
      </c>
      <c r="H29" s="38">
        <v>680400</v>
      </c>
      <c r="I29" s="39" t="s">
        <v>89</v>
      </c>
      <c r="J29" s="39" t="s">
        <v>110</v>
      </c>
      <c r="K29" s="35" t="s">
        <v>103</v>
      </c>
    </row>
    <row r="30" spans="1:11" ht="20.100000000000001" customHeight="1" x14ac:dyDescent="0.35">
      <c r="A30" s="35" t="s">
        <v>306</v>
      </c>
      <c r="B30" s="44" t="s">
        <v>43</v>
      </c>
      <c r="C30" s="39" t="s">
        <v>12</v>
      </c>
      <c r="D30" s="38">
        <v>26640</v>
      </c>
      <c r="E30" s="38">
        <v>2577</v>
      </c>
      <c r="F30" s="38">
        <v>68658545</v>
      </c>
      <c r="G30" s="38">
        <v>6865855</v>
      </c>
      <c r="H30" s="38">
        <v>75524400</v>
      </c>
      <c r="I30" s="39" t="s">
        <v>89</v>
      </c>
      <c r="J30" s="39" t="s">
        <v>110</v>
      </c>
      <c r="K30" s="35" t="s">
        <v>103</v>
      </c>
    </row>
    <row r="31" spans="1:11" ht="20.100000000000001" customHeight="1" x14ac:dyDescent="0.35">
      <c r="A31" s="35" t="s">
        <v>307</v>
      </c>
      <c r="B31" s="44" t="s">
        <v>43</v>
      </c>
      <c r="C31" s="39" t="s">
        <v>12</v>
      </c>
      <c r="D31" s="38">
        <v>5</v>
      </c>
      <c r="E31" s="38">
        <v>0</v>
      </c>
      <c r="F31" s="38">
        <v>0</v>
      </c>
      <c r="G31" s="38">
        <v>0</v>
      </c>
      <c r="H31" s="38">
        <v>0</v>
      </c>
      <c r="I31" s="39" t="s">
        <v>112</v>
      </c>
      <c r="J31" s="39" t="s">
        <v>113</v>
      </c>
      <c r="K31" s="35"/>
    </row>
    <row r="32" spans="1:11" ht="20.100000000000001" customHeight="1" x14ac:dyDescent="0.35">
      <c r="A32" s="35" t="s">
        <v>308</v>
      </c>
      <c r="B32" s="40" t="s">
        <v>44</v>
      </c>
      <c r="C32" s="39" t="s">
        <v>41</v>
      </c>
      <c r="D32" s="38">
        <v>14400</v>
      </c>
      <c r="E32" s="38">
        <v>1369</v>
      </c>
      <c r="F32" s="38">
        <v>19714910</v>
      </c>
      <c r="G32" s="38">
        <v>1971490</v>
      </c>
      <c r="H32" s="38">
        <v>21686400</v>
      </c>
      <c r="I32" s="39" t="s">
        <v>89</v>
      </c>
      <c r="J32" s="39" t="s">
        <v>114</v>
      </c>
      <c r="K32" s="35" t="s">
        <v>115</v>
      </c>
    </row>
    <row r="33" spans="1:11" ht="20.100000000000001" customHeight="1" x14ac:dyDescent="0.35">
      <c r="A33" s="35" t="s">
        <v>309</v>
      </c>
      <c r="B33" s="40" t="s">
        <v>44</v>
      </c>
      <c r="C33" s="39" t="s">
        <v>41</v>
      </c>
      <c r="D33" s="38">
        <v>7350</v>
      </c>
      <c r="E33" s="38">
        <v>1369</v>
      </c>
      <c r="F33" s="38">
        <v>10062818</v>
      </c>
      <c r="G33" s="38">
        <v>1006282</v>
      </c>
      <c r="H33" s="38">
        <v>11069100</v>
      </c>
      <c r="I33" s="39" t="s">
        <v>89</v>
      </c>
      <c r="J33" s="39" t="s">
        <v>114</v>
      </c>
      <c r="K33" s="35" t="s">
        <v>116</v>
      </c>
    </row>
    <row r="34" spans="1:11" ht="20.100000000000001" customHeight="1" x14ac:dyDescent="0.35">
      <c r="A34" s="35" t="s">
        <v>310</v>
      </c>
      <c r="B34" s="36" t="s">
        <v>45</v>
      </c>
      <c r="C34" s="37" t="s">
        <v>15</v>
      </c>
      <c r="D34" s="38">
        <v>8916</v>
      </c>
      <c r="E34" s="38">
        <v>2405</v>
      </c>
      <c r="F34" s="38">
        <v>21447033</v>
      </c>
      <c r="G34" s="38">
        <v>2144703</v>
      </c>
      <c r="H34" s="38">
        <v>23591736</v>
      </c>
      <c r="I34" s="39" t="s">
        <v>89</v>
      </c>
      <c r="J34" s="39" t="s">
        <v>117</v>
      </c>
      <c r="K34" s="35" t="s">
        <v>116</v>
      </c>
    </row>
    <row r="35" spans="1:11" ht="20.100000000000001" customHeight="1" x14ac:dyDescent="0.35">
      <c r="A35" s="35" t="s">
        <v>311</v>
      </c>
      <c r="B35" s="40" t="s">
        <v>44</v>
      </c>
      <c r="C35" s="39" t="s">
        <v>41</v>
      </c>
      <c r="D35" s="38">
        <v>17520</v>
      </c>
      <c r="E35" s="38">
        <v>1369</v>
      </c>
      <c r="F35" s="38">
        <v>23986473</v>
      </c>
      <c r="G35" s="38">
        <v>2398647</v>
      </c>
      <c r="H35" s="38">
        <v>26385120</v>
      </c>
      <c r="I35" s="39" t="s">
        <v>89</v>
      </c>
      <c r="J35" s="39" t="s">
        <v>118</v>
      </c>
      <c r="K35" s="35" t="s">
        <v>116</v>
      </c>
    </row>
    <row r="36" spans="1:11" ht="20.100000000000001" customHeight="1" x14ac:dyDescent="0.35">
      <c r="A36" s="35" t="s">
        <v>312</v>
      </c>
      <c r="B36" s="36" t="s">
        <v>45</v>
      </c>
      <c r="C36" s="37" t="s">
        <v>15</v>
      </c>
      <c r="D36" s="38">
        <v>17358</v>
      </c>
      <c r="E36" s="38">
        <v>2405</v>
      </c>
      <c r="F36" s="38">
        <v>41753880</v>
      </c>
      <c r="G36" s="38">
        <v>4175388</v>
      </c>
      <c r="H36" s="38">
        <v>45929268</v>
      </c>
      <c r="I36" s="39" t="s">
        <v>89</v>
      </c>
      <c r="J36" s="39" t="s">
        <v>119</v>
      </c>
      <c r="K36" s="35" t="s">
        <v>120</v>
      </c>
    </row>
    <row r="37" spans="1:11" ht="20.100000000000001" customHeight="1" x14ac:dyDescent="0.35">
      <c r="A37" s="35" t="s">
        <v>313</v>
      </c>
      <c r="B37" s="36" t="s">
        <v>45</v>
      </c>
      <c r="C37" s="37" t="s">
        <v>15</v>
      </c>
      <c r="D37" s="38">
        <v>17838</v>
      </c>
      <c r="E37" s="38">
        <v>2405</v>
      </c>
      <c r="F37" s="38">
        <v>42908498</v>
      </c>
      <c r="G37" s="38">
        <v>4290850</v>
      </c>
      <c r="H37" s="38">
        <v>47199348</v>
      </c>
      <c r="I37" s="39" t="s">
        <v>89</v>
      </c>
      <c r="J37" s="39" t="s">
        <v>119</v>
      </c>
      <c r="K37" s="35" t="s">
        <v>120</v>
      </c>
    </row>
    <row r="38" spans="1:11" ht="20.100000000000001" customHeight="1" x14ac:dyDescent="0.35">
      <c r="A38" s="35" t="s">
        <v>314</v>
      </c>
      <c r="B38" s="40" t="s">
        <v>44</v>
      </c>
      <c r="C38" s="39" t="s">
        <v>41</v>
      </c>
      <c r="D38" s="38">
        <v>8760</v>
      </c>
      <c r="E38" s="38">
        <v>1369</v>
      </c>
      <c r="F38" s="38">
        <v>11993237</v>
      </c>
      <c r="G38" s="38">
        <v>1199323</v>
      </c>
      <c r="H38" s="38">
        <v>13192560</v>
      </c>
      <c r="I38" s="39" t="s">
        <v>89</v>
      </c>
      <c r="J38" s="39" t="s">
        <v>95</v>
      </c>
      <c r="K38" s="35" t="s">
        <v>120</v>
      </c>
    </row>
    <row r="39" spans="1:11" ht="20.100000000000001" customHeight="1" x14ac:dyDescent="0.35">
      <c r="A39" s="35" t="s">
        <v>315</v>
      </c>
      <c r="B39" s="44" t="s">
        <v>43</v>
      </c>
      <c r="C39" s="39" t="s">
        <v>12</v>
      </c>
      <c r="D39" s="38">
        <v>22440</v>
      </c>
      <c r="E39" s="38">
        <v>2577</v>
      </c>
      <c r="F39" s="38">
        <v>57834000</v>
      </c>
      <c r="G39" s="38">
        <v>5783400</v>
      </c>
      <c r="H39" s="38">
        <v>63617400</v>
      </c>
      <c r="I39" s="39" t="s">
        <v>89</v>
      </c>
      <c r="J39" s="39" t="s">
        <v>119</v>
      </c>
      <c r="K39" s="35" t="s">
        <v>120</v>
      </c>
    </row>
    <row r="40" spans="1:11" ht="20.100000000000001" customHeight="1" x14ac:dyDescent="0.35">
      <c r="A40" s="35" t="s">
        <v>316</v>
      </c>
      <c r="B40" s="36" t="s">
        <v>45</v>
      </c>
      <c r="C40" s="37" t="s">
        <v>15</v>
      </c>
      <c r="D40" s="38">
        <v>480</v>
      </c>
      <c r="E40" s="38">
        <v>2405</v>
      </c>
      <c r="F40" s="38">
        <v>1154618</v>
      </c>
      <c r="G40" s="38">
        <v>115462</v>
      </c>
      <c r="H40" s="38">
        <v>1270080</v>
      </c>
      <c r="I40" s="39" t="s">
        <v>89</v>
      </c>
      <c r="J40" s="39" t="s">
        <v>119</v>
      </c>
      <c r="K40" s="35" t="s">
        <v>121</v>
      </c>
    </row>
    <row r="41" spans="1:11" ht="20.100000000000001" customHeight="1" x14ac:dyDescent="0.35">
      <c r="A41" s="35" t="s">
        <v>317</v>
      </c>
      <c r="B41" s="44" t="s">
        <v>43</v>
      </c>
      <c r="C41" s="39" t="s">
        <v>12</v>
      </c>
      <c r="D41" s="38">
        <v>4320</v>
      </c>
      <c r="E41" s="38">
        <v>2577</v>
      </c>
      <c r="F41" s="38">
        <v>11133818</v>
      </c>
      <c r="G41" s="38">
        <v>1113382</v>
      </c>
      <c r="H41" s="38">
        <v>12247200</v>
      </c>
      <c r="I41" s="39" t="s">
        <v>89</v>
      </c>
      <c r="J41" s="39" t="s">
        <v>119</v>
      </c>
      <c r="K41" s="35" t="s">
        <v>121</v>
      </c>
    </row>
    <row r="42" spans="1:11" ht="20.100000000000001" customHeight="1" x14ac:dyDescent="0.35">
      <c r="A42" s="35" t="s">
        <v>318</v>
      </c>
      <c r="B42" s="44" t="s">
        <v>43</v>
      </c>
      <c r="C42" s="39" t="s">
        <v>12</v>
      </c>
      <c r="D42" s="38">
        <v>960</v>
      </c>
      <c r="E42" s="38">
        <v>2577</v>
      </c>
      <c r="F42" s="38">
        <v>2474182</v>
      </c>
      <c r="G42" s="38">
        <v>247418</v>
      </c>
      <c r="H42" s="38">
        <v>2721600</v>
      </c>
      <c r="I42" s="39" t="s">
        <v>89</v>
      </c>
      <c r="J42" s="39" t="s">
        <v>122</v>
      </c>
      <c r="K42" s="35" t="s">
        <v>123</v>
      </c>
    </row>
    <row r="43" spans="1:11" ht="20.100000000000001" customHeight="1" x14ac:dyDescent="0.35">
      <c r="A43" s="35" t="s">
        <v>319</v>
      </c>
      <c r="B43" s="44" t="s">
        <v>43</v>
      </c>
      <c r="C43" s="39" t="s">
        <v>12</v>
      </c>
      <c r="D43" s="38">
        <v>1440</v>
      </c>
      <c r="E43" s="38">
        <v>2577</v>
      </c>
      <c r="F43" s="38">
        <v>3711273</v>
      </c>
      <c r="G43" s="38">
        <v>371127</v>
      </c>
      <c r="H43" s="38">
        <v>4082400</v>
      </c>
      <c r="I43" s="39" t="s">
        <v>89</v>
      </c>
      <c r="J43" s="39" t="s">
        <v>119</v>
      </c>
      <c r="K43" s="35" t="s">
        <v>124</v>
      </c>
    </row>
    <row r="44" spans="1:11" ht="20.100000000000001" customHeight="1" x14ac:dyDescent="0.35">
      <c r="A44" s="35" t="s">
        <v>320</v>
      </c>
      <c r="B44" s="44" t="s">
        <v>43</v>
      </c>
      <c r="C44" s="39" t="s">
        <v>12</v>
      </c>
      <c r="D44" s="38">
        <v>9</v>
      </c>
      <c r="E44" s="38">
        <v>2577</v>
      </c>
      <c r="F44" s="38">
        <v>23195</v>
      </c>
      <c r="G44" s="38">
        <v>2320</v>
      </c>
      <c r="H44" s="38">
        <v>25515</v>
      </c>
      <c r="I44" s="39" t="s">
        <v>89</v>
      </c>
      <c r="J44" s="39" t="s">
        <v>119</v>
      </c>
      <c r="K44" s="35" t="s">
        <v>125</v>
      </c>
    </row>
    <row r="45" spans="1:11" ht="20.100000000000001" customHeight="1" x14ac:dyDescent="0.35">
      <c r="A45" s="35" t="s">
        <v>321</v>
      </c>
      <c r="B45" s="44" t="s">
        <v>43</v>
      </c>
      <c r="C45" s="39" t="s">
        <v>12</v>
      </c>
      <c r="D45" s="38">
        <v>444</v>
      </c>
      <c r="E45" s="38">
        <v>0</v>
      </c>
      <c r="F45" s="38">
        <v>0</v>
      </c>
      <c r="G45" s="38">
        <v>0</v>
      </c>
      <c r="H45" s="38">
        <v>0</v>
      </c>
      <c r="I45" s="39" t="s">
        <v>89</v>
      </c>
      <c r="J45" s="39" t="s">
        <v>126</v>
      </c>
      <c r="K45" s="35"/>
    </row>
    <row r="46" spans="1:11" ht="20.100000000000001" customHeight="1" x14ac:dyDescent="0.35">
      <c r="A46" s="35" t="s">
        <v>321</v>
      </c>
      <c r="B46" s="44" t="s">
        <v>43</v>
      </c>
      <c r="C46" s="39" t="s">
        <v>12</v>
      </c>
      <c r="D46" s="38">
        <v>-444</v>
      </c>
      <c r="E46" s="38">
        <v>0</v>
      </c>
      <c r="F46" s="38">
        <v>0</v>
      </c>
      <c r="G46" s="38">
        <v>0</v>
      </c>
      <c r="H46" s="38">
        <v>0</v>
      </c>
      <c r="I46" s="39" t="s">
        <v>89</v>
      </c>
      <c r="J46" s="39" t="s">
        <v>126</v>
      </c>
      <c r="K46" s="35"/>
    </row>
    <row r="47" spans="1:11" ht="20.100000000000001" customHeight="1" x14ac:dyDescent="0.35">
      <c r="A47" s="35" t="s">
        <v>322</v>
      </c>
      <c r="B47" s="44" t="s">
        <v>43</v>
      </c>
      <c r="C47" s="39" t="s">
        <v>12</v>
      </c>
      <c r="D47" s="38">
        <v>60</v>
      </c>
      <c r="E47" s="38">
        <v>0</v>
      </c>
      <c r="F47" s="38">
        <v>0</v>
      </c>
      <c r="G47" s="38">
        <v>0</v>
      </c>
      <c r="H47" s="38">
        <v>0</v>
      </c>
      <c r="I47" s="39" t="s">
        <v>112</v>
      </c>
      <c r="J47" s="39" t="s">
        <v>127</v>
      </c>
      <c r="K47" s="35"/>
    </row>
    <row r="48" spans="1:11" ht="20.100000000000001" customHeight="1" x14ac:dyDescent="0.35">
      <c r="A48" s="54" t="s">
        <v>57</v>
      </c>
      <c r="B48" s="55"/>
      <c r="C48" s="56"/>
      <c r="D48" s="41">
        <f>SUM(D19:D47)</f>
        <v>151049</v>
      </c>
      <c r="E48" s="41">
        <f t="shared" ref="E48:H48" si="2">SUM(E19:E47)</f>
        <v>45998</v>
      </c>
      <c r="F48" s="41">
        <f t="shared" si="2"/>
        <v>321425044</v>
      </c>
      <c r="G48" s="41">
        <f t="shared" si="2"/>
        <v>32142503</v>
      </c>
      <c r="H48" s="41">
        <f t="shared" si="2"/>
        <v>353567547</v>
      </c>
      <c r="I48" s="42"/>
      <c r="J48" s="42"/>
      <c r="K48" s="43"/>
    </row>
    <row r="49" spans="1:11" ht="20.100000000000001" customHeight="1" x14ac:dyDescent="0.35">
      <c r="A49" s="35" t="s">
        <v>323</v>
      </c>
      <c r="B49" s="36" t="s">
        <v>45</v>
      </c>
      <c r="C49" s="37" t="s">
        <v>15</v>
      </c>
      <c r="D49" s="38">
        <v>5760</v>
      </c>
      <c r="E49" s="38">
        <v>2405</v>
      </c>
      <c r="F49" s="38">
        <v>13855418</v>
      </c>
      <c r="G49" s="38">
        <v>1385542</v>
      </c>
      <c r="H49" s="38">
        <v>15240960</v>
      </c>
      <c r="I49" s="39" t="s">
        <v>89</v>
      </c>
      <c r="J49" s="39" t="s">
        <v>128</v>
      </c>
      <c r="K49" s="35" t="s">
        <v>129</v>
      </c>
    </row>
    <row r="50" spans="1:11" ht="20.100000000000001" customHeight="1" x14ac:dyDescent="0.35">
      <c r="A50" s="35" t="s">
        <v>324</v>
      </c>
      <c r="B50" s="36" t="s">
        <v>45</v>
      </c>
      <c r="C50" s="37" t="s">
        <v>15</v>
      </c>
      <c r="D50" s="38">
        <v>360</v>
      </c>
      <c r="E50" s="38">
        <v>2405</v>
      </c>
      <c r="F50" s="38">
        <v>865963</v>
      </c>
      <c r="G50" s="38">
        <v>86597</v>
      </c>
      <c r="H50" s="38">
        <v>952560</v>
      </c>
      <c r="I50" s="39" t="s">
        <v>89</v>
      </c>
      <c r="J50" s="39" t="s">
        <v>130</v>
      </c>
      <c r="K50" s="35" t="s">
        <v>131</v>
      </c>
    </row>
    <row r="51" spans="1:11" ht="20.100000000000001" customHeight="1" x14ac:dyDescent="0.35">
      <c r="A51" s="35" t="s">
        <v>325</v>
      </c>
      <c r="B51" s="36" t="s">
        <v>45</v>
      </c>
      <c r="C51" s="37" t="s">
        <v>15</v>
      </c>
      <c r="D51" s="38">
        <v>2160</v>
      </c>
      <c r="E51" s="38">
        <v>2405</v>
      </c>
      <c r="F51" s="38">
        <v>5195782</v>
      </c>
      <c r="G51" s="38">
        <v>519578</v>
      </c>
      <c r="H51" s="38">
        <v>5715360</v>
      </c>
      <c r="I51" s="39" t="s">
        <v>89</v>
      </c>
      <c r="J51" s="39" t="s">
        <v>132</v>
      </c>
      <c r="K51" s="35" t="s">
        <v>131</v>
      </c>
    </row>
    <row r="52" spans="1:11" ht="20.100000000000001" customHeight="1" x14ac:dyDescent="0.35">
      <c r="A52" s="35" t="s">
        <v>326</v>
      </c>
      <c r="B52" s="40" t="s">
        <v>44</v>
      </c>
      <c r="C52" s="39" t="s">
        <v>41</v>
      </c>
      <c r="D52" s="38">
        <v>1200</v>
      </c>
      <c r="E52" s="38">
        <v>1369</v>
      </c>
      <c r="F52" s="38">
        <v>1642909</v>
      </c>
      <c r="G52" s="38">
        <v>164291</v>
      </c>
      <c r="H52" s="38">
        <v>1807200</v>
      </c>
      <c r="I52" s="39" t="s">
        <v>89</v>
      </c>
      <c r="J52" s="39" t="s">
        <v>133</v>
      </c>
      <c r="K52" s="35" t="s">
        <v>129</v>
      </c>
    </row>
    <row r="53" spans="1:11" ht="20.100000000000001" customHeight="1" x14ac:dyDescent="0.35">
      <c r="A53" s="35" t="s">
        <v>327</v>
      </c>
      <c r="B53" s="40" t="s">
        <v>44</v>
      </c>
      <c r="C53" s="39" t="s">
        <v>41</v>
      </c>
      <c r="D53" s="38">
        <v>1200</v>
      </c>
      <c r="E53" s="38">
        <v>1369</v>
      </c>
      <c r="F53" s="38">
        <v>1642909</v>
      </c>
      <c r="G53" s="38">
        <v>164291</v>
      </c>
      <c r="H53" s="38">
        <v>1807200</v>
      </c>
      <c r="I53" s="39" t="s">
        <v>89</v>
      </c>
      <c r="J53" s="39" t="s">
        <v>134</v>
      </c>
      <c r="K53" s="35" t="s">
        <v>131</v>
      </c>
    </row>
    <row r="54" spans="1:11" ht="20.100000000000001" customHeight="1" x14ac:dyDescent="0.35">
      <c r="A54" s="35" t="s">
        <v>328</v>
      </c>
      <c r="B54" s="44" t="s">
        <v>43</v>
      </c>
      <c r="C54" s="39" t="s">
        <v>12</v>
      </c>
      <c r="D54" s="38">
        <v>6708</v>
      </c>
      <c r="E54" s="38">
        <v>2577</v>
      </c>
      <c r="F54" s="38">
        <v>17288345</v>
      </c>
      <c r="G54" s="38">
        <v>1728835</v>
      </c>
      <c r="H54" s="38">
        <v>19017180</v>
      </c>
      <c r="I54" s="39" t="s">
        <v>89</v>
      </c>
      <c r="J54" s="39" t="s">
        <v>128</v>
      </c>
      <c r="K54" s="35" t="s">
        <v>129</v>
      </c>
    </row>
    <row r="55" spans="1:11" ht="20.100000000000001" customHeight="1" x14ac:dyDescent="0.35">
      <c r="A55" s="35" t="s">
        <v>329</v>
      </c>
      <c r="B55" s="40" t="s">
        <v>44</v>
      </c>
      <c r="C55" s="39" t="s">
        <v>41</v>
      </c>
      <c r="D55" s="38">
        <v>7200</v>
      </c>
      <c r="E55" s="38">
        <v>1369</v>
      </c>
      <c r="F55" s="38">
        <v>9857455</v>
      </c>
      <c r="G55" s="38">
        <v>985745</v>
      </c>
      <c r="H55" s="38">
        <v>10843200</v>
      </c>
      <c r="I55" s="39" t="s">
        <v>89</v>
      </c>
      <c r="J55" s="39" t="s">
        <v>134</v>
      </c>
      <c r="K55" s="35" t="s">
        <v>135</v>
      </c>
    </row>
    <row r="56" spans="1:11" ht="20.100000000000001" customHeight="1" x14ac:dyDescent="0.35">
      <c r="A56" s="35" t="s">
        <v>330</v>
      </c>
      <c r="B56" s="36" t="s">
        <v>45</v>
      </c>
      <c r="C56" s="37" t="s">
        <v>15</v>
      </c>
      <c r="D56" s="38">
        <v>6440</v>
      </c>
      <c r="E56" s="38">
        <v>2405</v>
      </c>
      <c r="F56" s="38">
        <v>15491127</v>
      </c>
      <c r="G56" s="38">
        <v>1549113</v>
      </c>
      <c r="H56" s="38">
        <v>17040240</v>
      </c>
      <c r="I56" s="39" t="s">
        <v>89</v>
      </c>
      <c r="J56" s="39" t="s">
        <v>136</v>
      </c>
      <c r="K56" s="35" t="s">
        <v>135</v>
      </c>
    </row>
    <row r="57" spans="1:11" ht="20.100000000000001" customHeight="1" x14ac:dyDescent="0.35">
      <c r="A57" s="35" t="s">
        <v>331</v>
      </c>
      <c r="B57" s="36" t="s">
        <v>45</v>
      </c>
      <c r="C57" s="37" t="s">
        <v>15</v>
      </c>
      <c r="D57" s="38">
        <v>360</v>
      </c>
      <c r="E57" s="38">
        <v>2405</v>
      </c>
      <c r="F57" s="38">
        <v>865964</v>
      </c>
      <c r="G57" s="38">
        <v>86596</v>
      </c>
      <c r="H57" s="38">
        <v>952560</v>
      </c>
      <c r="I57" s="39" t="s">
        <v>89</v>
      </c>
      <c r="J57" s="39" t="s">
        <v>137</v>
      </c>
      <c r="K57" s="35" t="s">
        <v>135</v>
      </c>
    </row>
    <row r="58" spans="1:11" ht="20.100000000000001" customHeight="1" x14ac:dyDescent="0.35">
      <c r="A58" s="35" t="s">
        <v>332</v>
      </c>
      <c r="B58" s="36" t="s">
        <v>45</v>
      </c>
      <c r="C58" s="37" t="s">
        <v>15</v>
      </c>
      <c r="D58" s="38">
        <v>360</v>
      </c>
      <c r="E58" s="38">
        <v>2405</v>
      </c>
      <c r="F58" s="38">
        <v>865964</v>
      </c>
      <c r="G58" s="38">
        <v>86596</v>
      </c>
      <c r="H58" s="38">
        <v>952560</v>
      </c>
      <c r="I58" s="39" t="s">
        <v>89</v>
      </c>
      <c r="J58" s="39" t="s">
        <v>137</v>
      </c>
      <c r="K58" s="35" t="s">
        <v>135</v>
      </c>
    </row>
    <row r="59" spans="1:11" ht="20.100000000000001" customHeight="1" x14ac:dyDescent="0.35">
      <c r="A59" s="35" t="s">
        <v>333</v>
      </c>
      <c r="B59" s="36" t="s">
        <v>45</v>
      </c>
      <c r="C59" s="37" t="s">
        <v>15</v>
      </c>
      <c r="D59" s="38">
        <v>240</v>
      </c>
      <c r="E59" s="38">
        <v>2405</v>
      </c>
      <c r="F59" s="38">
        <v>577309</v>
      </c>
      <c r="G59" s="38">
        <v>57731</v>
      </c>
      <c r="H59" s="38">
        <v>635040</v>
      </c>
      <c r="I59" s="39" t="s">
        <v>89</v>
      </c>
      <c r="J59" s="39" t="s">
        <v>137</v>
      </c>
      <c r="K59" s="35" t="s">
        <v>135</v>
      </c>
    </row>
    <row r="60" spans="1:11" ht="20.100000000000001" customHeight="1" x14ac:dyDescent="0.35">
      <c r="A60" s="35" t="s">
        <v>334</v>
      </c>
      <c r="B60" s="40" t="s">
        <v>44</v>
      </c>
      <c r="C60" s="39" t="s">
        <v>41</v>
      </c>
      <c r="D60" s="38">
        <v>6000</v>
      </c>
      <c r="E60" s="38">
        <v>1369</v>
      </c>
      <c r="F60" s="38">
        <v>8214546</v>
      </c>
      <c r="G60" s="38">
        <v>821454</v>
      </c>
      <c r="H60" s="38">
        <v>9036000</v>
      </c>
      <c r="I60" s="39" t="s">
        <v>89</v>
      </c>
      <c r="J60" s="39" t="s">
        <v>138</v>
      </c>
      <c r="K60" s="35" t="s">
        <v>135</v>
      </c>
    </row>
    <row r="61" spans="1:11" ht="20.100000000000001" customHeight="1" x14ac:dyDescent="0.35">
      <c r="A61" s="35" t="s">
        <v>335</v>
      </c>
      <c r="B61" s="40" t="s">
        <v>44</v>
      </c>
      <c r="C61" s="39" t="s">
        <v>41</v>
      </c>
      <c r="D61" s="38">
        <v>6000</v>
      </c>
      <c r="E61" s="38">
        <v>1369</v>
      </c>
      <c r="F61" s="38">
        <v>8214545</v>
      </c>
      <c r="G61" s="38">
        <v>821455</v>
      </c>
      <c r="H61" s="38">
        <v>9036000</v>
      </c>
      <c r="I61" s="39" t="s">
        <v>89</v>
      </c>
      <c r="J61" s="39" t="s">
        <v>138</v>
      </c>
      <c r="K61" s="35" t="s">
        <v>135</v>
      </c>
    </row>
    <row r="62" spans="1:11" ht="20.100000000000001" customHeight="1" x14ac:dyDescent="0.35">
      <c r="A62" s="35" t="s">
        <v>336</v>
      </c>
      <c r="B62" s="40" t="s">
        <v>44</v>
      </c>
      <c r="C62" s="39" t="s">
        <v>41</v>
      </c>
      <c r="D62" s="38">
        <v>6000</v>
      </c>
      <c r="E62" s="38">
        <v>1369</v>
      </c>
      <c r="F62" s="38">
        <v>8214545</v>
      </c>
      <c r="G62" s="38">
        <v>821455</v>
      </c>
      <c r="H62" s="38">
        <v>9036000</v>
      </c>
      <c r="I62" s="39" t="s">
        <v>89</v>
      </c>
      <c r="J62" s="39" t="s">
        <v>138</v>
      </c>
      <c r="K62" s="35" t="s">
        <v>135</v>
      </c>
    </row>
    <row r="63" spans="1:11" ht="20.100000000000001" customHeight="1" x14ac:dyDescent="0.35">
      <c r="A63" s="35" t="s">
        <v>337</v>
      </c>
      <c r="B63" s="44" t="s">
        <v>43</v>
      </c>
      <c r="C63" s="39" t="s">
        <v>12</v>
      </c>
      <c r="D63" s="38">
        <v>4716</v>
      </c>
      <c r="E63" s="38">
        <v>2577</v>
      </c>
      <c r="F63" s="38">
        <v>12154418</v>
      </c>
      <c r="G63" s="38">
        <v>1215442</v>
      </c>
      <c r="H63" s="38">
        <v>13369860</v>
      </c>
      <c r="I63" s="39" t="s">
        <v>89</v>
      </c>
      <c r="J63" s="39" t="s">
        <v>139</v>
      </c>
      <c r="K63" s="35" t="s">
        <v>125</v>
      </c>
    </row>
    <row r="64" spans="1:11" ht="20.100000000000001" customHeight="1" x14ac:dyDescent="0.35">
      <c r="A64" s="35" t="s">
        <v>338</v>
      </c>
      <c r="B64" s="44" t="s">
        <v>43</v>
      </c>
      <c r="C64" s="39" t="s">
        <v>12</v>
      </c>
      <c r="D64" s="38">
        <v>400</v>
      </c>
      <c r="E64" s="38">
        <v>2577</v>
      </c>
      <c r="F64" s="38">
        <v>1030909</v>
      </c>
      <c r="G64" s="38">
        <v>103091</v>
      </c>
      <c r="H64" s="38">
        <v>1134000</v>
      </c>
      <c r="I64" s="39" t="s">
        <v>89</v>
      </c>
      <c r="J64" s="39" t="s">
        <v>140</v>
      </c>
      <c r="K64" s="35" t="s">
        <v>141</v>
      </c>
    </row>
    <row r="65" spans="1:11" ht="20.100000000000001" customHeight="1" x14ac:dyDescent="0.35">
      <c r="A65" s="35" t="s">
        <v>339</v>
      </c>
      <c r="B65" s="44" t="s">
        <v>43</v>
      </c>
      <c r="C65" s="39" t="s">
        <v>12</v>
      </c>
      <c r="D65" s="38">
        <v>100</v>
      </c>
      <c r="E65" s="38">
        <v>2577</v>
      </c>
      <c r="F65" s="38">
        <v>257727</v>
      </c>
      <c r="G65" s="38">
        <v>25773</v>
      </c>
      <c r="H65" s="38">
        <v>283500</v>
      </c>
      <c r="I65" s="39" t="s">
        <v>89</v>
      </c>
      <c r="J65" s="39" t="s">
        <v>140</v>
      </c>
      <c r="K65" s="35" t="s">
        <v>141</v>
      </c>
    </row>
    <row r="66" spans="1:11" ht="20.100000000000001" customHeight="1" x14ac:dyDescent="0.35">
      <c r="A66" s="35" t="s">
        <v>340</v>
      </c>
      <c r="B66" s="44" t="s">
        <v>43</v>
      </c>
      <c r="C66" s="39" t="s">
        <v>12</v>
      </c>
      <c r="D66" s="38">
        <v>54</v>
      </c>
      <c r="E66" s="38">
        <v>2577</v>
      </c>
      <c r="F66" s="38">
        <v>139173</v>
      </c>
      <c r="G66" s="38">
        <v>13917</v>
      </c>
      <c r="H66" s="38">
        <v>153090</v>
      </c>
      <c r="I66" s="39" t="s">
        <v>89</v>
      </c>
      <c r="J66" s="39" t="s">
        <v>140</v>
      </c>
      <c r="K66" s="35" t="s">
        <v>141</v>
      </c>
    </row>
    <row r="67" spans="1:11" ht="20.100000000000001" customHeight="1" x14ac:dyDescent="0.35">
      <c r="A67" s="35" t="s">
        <v>341</v>
      </c>
      <c r="B67" s="44" t="s">
        <v>43</v>
      </c>
      <c r="C67" s="39" t="s">
        <v>12</v>
      </c>
      <c r="D67" s="38">
        <v>70</v>
      </c>
      <c r="E67" s="38">
        <v>2577</v>
      </c>
      <c r="F67" s="38">
        <v>180409</v>
      </c>
      <c r="G67" s="38">
        <v>18041</v>
      </c>
      <c r="H67" s="38">
        <v>198450</v>
      </c>
      <c r="I67" s="39" t="s">
        <v>89</v>
      </c>
      <c r="J67" s="39" t="s">
        <v>140</v>
      </c>
      <c r="K67" s="35" t="s">
        <v>141</v>
      </c>
    </row>
    <row r="68" spans="1:11" ht="20.100000000000001" customHeight="1" x14ac:dyDescent="0.35">
      <c r="A68" s="35" t="s">
        <v>342</v>
      </c>
      <c r="B68" s="44" t="s">
        <v>43</v>
      </c>
      <c r="C68" s="39" t="s">
        <v>12</v>
      </c>
      <c r="D68" s="38">
        <v>360</v>
      </c>
      <c r="E68" s="38">
        <v>2577</v>
      </c>
      <c r="F68" s="38">
        <v>927819</v>
      </c>
      <c r="G68" s="38">
        <v>92781</v>
      </c>
      <c r="H68" s="38">
        <v>1020600</v>
      </c>
      <c r="I68" s="39" t="s">
        <v>89</v>
      </c>
      <c r="J68" s="39" t="s">
        <v>140</v>
      </c>
      <c r="K68" s="35" t="s">
        <v>142</v>
      </c>
    </row>
    <row r="69" spans="1:11" ht="20.100000000000001" customHeight="1" x14ac:dyDescent="0.35">
      <c r="A69" s="35" t="s">
        <v>343</v>
      </c>
      <c r="B69" s="44" t="s">
        <v>43</v>
      </c>
      <c r="C69" s="39" t="s">
        <v>12</v>
      </c>
      <c r="D69" s="38">
        <v>120</v>
      </c>
      <c r="E69" s="38">
        <v>2577</v>
      </c>
      <c r="F69" s="38">
        <v>309273</v>
      </c>
      <c r="G69" s="38">
        <v>30927</v>
      </c>
      <c r="H69" s="38">
        <v>340200</v>
      </c>
      <c r="I69" s="39" t="s">
        <v>89</v>
      </c>
      <c r="J69" s="39" t="s">
        <v>140</v>
      </c>
      <c r="K69" s="35" t="s">
        <v>141</v>
      </c>
    </row>
    <row r="70" spans="1:11" ht="20.100000000000001" customHeight="1" x14ac:dyDescent="0.35">
      <c r="A70" s="35" t="s">
        <v>344</v>
      </c>
      <c r="B70" s="44" t="s">
        <v>43</v>
      </c>
      <c r="C70" s="39" t="s">
        <v>12</v>
      </c>
      <c r="D70" s="38">
        <v>120</v>
      </c>
      <c r="E70" s="38">
        <v>2577</v>
      </c>
      <c r="F70" s="38">
        <v>309273</v>
      </c>
      <c r="G70" s="38">
        <v>30927</v>
      </c>
      <c r="H70" s="38">
        <v>340200</v>
      </c>
      <c r="I70" s="39" t="s">
        <v>89</v>
      </c>
      <c r="J70" s="39" t="s">
        <v>140</v>
      </c>
      <c r="K70" s="35" t="s">
        <v>142</v>
      </c>
    </row>
    <row r="71" spans="1:11" ht="20.100000000000001" customHeight="1" x14ac:dyDescent="0.35">
      <c r="A71" s="35" t="s">
        <v>345</v>
      </c>
      <c r="B71" s="44" t="s">
        <v>43</v>
      </c>
      <c r="C71" s="39" t="s">
        <v>12</v>
      </c>
      <c r="D71" s="38">
        <v>190</v>
      </c>
      <c r="E71" s="38">
        <v>2577</v>
      </c>
      <c r="F71" s="38">
        <v>489682</v>
      </c>
      <c r="G71" s="38">
        <v>48968</v>
      </c>
      <c r="H71" s="38">
        <v>538650</v>
      </c>
      <c r="I71" s="39" t="s">
        <v>89</v>
      </c>
      <c r="J71" s="39" t="s">
        <v>140</v>
      </c>
      <c r="K71" s="35" t="s">
        <v>141</v>
      </c>
    </row>
    <row r="72" spans="1:11" ht="20.100000000000001" customHeight="1" x14ac:dyDescent="0.35">
      <c r="A72" s="35" t="s">
        <v>346</v>
      </c>
      <c r="B72" s="44" t="s">
        <v>43</v>
      </c>
      <c r="C72" s="39" t="s">
        <v>12</v>
      </c>
      <c r="D72" s="38">
        <v>68</v>
      </c>
      <c r="E72" s="38">
        <v>2577</v>
      </c>
      <c r="F72" s="38">
        <v>175255</v>
      </c>
      <c r="G72" s="38">
        <v>17525</v>
      </c>
      <c r="H72" s="38">
        <v>192780</v>
      </c>
      <c r="I72" s="39" t="s">
        <v>89</v>
      </c>
      <c r="J72" s="39" t="s">
        <v>140</v>
      </c>
      <c r="K72" s="35" t="s">
        <v>141</v>
      </c>
    </row>
    <row r="73" spans="1:11" ht="20.100000000000001" customHeight="1" x14ac:dyDescent="0.35">
      <c r="A73" s="35" t="s">
        <v>347</v>
      </c>
      <c r="B73" s="44" t="s">
        <v>43</v>
      </c>
      <c r="C73" s="39" t="s">
        <v>12</v>
      </c>
      <c r="D73" s="38">
        <v>2400</v>
      </c>
      <c r="E73" s="38">
        <v>2577</v>
      </c>
      <c r="F73" s="38">
        <v>6185455</v>
      </c>
      <c r="G73" s="38">
        <v>618545</v>
      </c>
      <c r="H73" s="38">
        <v>6804000</v>
      </c>
      <c r="I73" s="39" t="s">
        <v>89</v>
      </c>
      <c r="J73" s="39" t="s">
        <v>136</v>
      </c>
      <c r="K73" s="35" t="s">
        <v>142</v>
      </c>
    </row>
    <row r="74" spans="1:11" ht="20.100000000000001" customHeight="1" x14ac:dyDescent="0.35">
      <c r="A74" s="35" t="s">
        <v>348</v>
      </c>
      <c r="B74" s="44" t="s">
        <v>43</v>
      </c>
      <c r="C74" s="39" t="s">
        <v>12</v>
      </c>
      <c r="D74" s="38">
        <v>1200</v>
      </c>
      <c r="E74" s="38">
        <v>2577</v>
      </c>
      <c r="F74" s="38">
        <v>3092727</v>
      </c>
      <c r="G74" s="38">
        <v>309273</v>
      </c>
      <c r="H74" s="38">
        <v>3402000</v>
      </c>
      <c r="I74" s="39" t="s">
        <v>89</v>
      </c>
      <c r="J74" s="39" t="s">
        <v>143</v>
      </c>
      <c r="K74" s="35" t="s">
        <v>141</v>
      </c>
    </row>
    <row r="75" spans="1:11" ht="20.100000000000001" customHeight="1" x14ac:dyDescent="0.35">
      <c r="A75" s="35" t="s">
        <v>349</v>
      </c>
      <c r="B75" s="44" t="s">
        <v>43</v>
      </c>
      <c r="C75" s="39" t="s">
        <v>12</v>
      </c>
      <c r="D75" s="38">
        <v>480</v>
      </c>
      <c r="E75" s="38">
        <v>2577</v>
      </c>
      <c r="F75" s="38">
        <v>1237091</v>
      </c>
      <c r="G75" s="38">
        <v>123709</v>
      </c>
      <c r="H75" s="38">
        <v>1360800</v>
      </c>
      <c r="I75" s="39" t="s">
        <v>89</v>
      </c>
      <c r="J75" s="39" t="s">
        <v>144</v>
      </c>
      <c r="K75" s="35" t="s">
        <v>141</v>
      </c>
    </row>
    <row r="76" spans="1:11" ht="20.100000000000001" customHeight="1" x14ac:dyDescent="0.35">
      <c r="A76" s="35" t="s">
        <v>350</v>
      </c>
      <c r="B76" s="44" t="s">
        <v>43</v>
      </c>
      <c r="C76" s="39" t="s">
        <v>12</v>
      </c>
      <c r="D76" s="38">
        <v>5280</v>
      </c>
      <c r="E76" s="38">
        <v>2577</v>
      </c>
      <c r="F76" s="38">
        <v>13608000</v>
      </c>
      <c r="G76" s="38">
        <v>1360800</v>
      </c>
      <c r="H76" s="38">
        <v>14968800</v>
      </c>
      <c r="I76" s="39" t="s">
        <v>89</v>
      </c>
      <c r="J76" s="39" t="s">
        <v>145</v>
      </c>
      <c r="K76" s="35" t="s">
        <v>142</v>
      </c>
    </row>
    <row r="77" spans="1:11" ht="20.100000000000001" customHeight="1" x14ac:dyDescent="0.35">
      <c r="A77" s="35" t="s">
        <v>351</v>
      </c>
      <c r="B77" s="44" t="s">
        <v>43</v>
      </c>
      <c r="C77" s="39" t="s">
        <v>12</v>
      </c>
      <c r="D77" s="38">
        <v>480</v>
      </c>
      <c r="E77" s="38">
        <v>2577</v>
      </c>
      <c r="F77" s="38">
        <v>1237091</v>
      </c>
      <c r="G77" s="38">
        <v>123709</v>
      </c>
      <c r="H77" s="38">
        <v>1360800</v>
      </c>
      <c r="I77" s="39" t="s">
        <v>89</v>
      </c>
      <c r="J77" s="39" t="s">
        <v>136</v>
      </c>
      <c r="K77" s="35" t="s">
        <v>141</v>
      </c>
    </row>
    <row r="78" spans="1:11" ht="20.100000000000001" customHeight="1" x14ac:dyDescent="0.35">
      <c r="A78" s="35" t="s">
        <v>352</v>
      </c>
      <c r="B78" s="44" t="s">
        <v>43</v>
      </c>
      <c r="C78" s="39" t="s">
        <v>12</v>
      </c>
      <c r="D78" s="38">
        <v>30</v>
      </c>
      <c r="E78" s="38">
        <v>2577</v>
      </c>
      <c r="F78" s="38">
        <v>77318</v>
      </c>
      <c r="G78" s="38">
        <v>7732</v>
      </c>
      <c r="H78" s="38">
        <v>85050</v>
      </c>
      <c r="I78" s="39" t="s">
        <v>89</v>
      </c>
      <c r="J78" s="39" t="s">
        <v>140</v>
      </c>
      <c r="K78" s="35" t="s">
        <v>141</v>
      </c>
    </row>
    <row r="79" spans="1:11" ht="20.100000000000001" customHeight="1" x14ac:dyDescent="0.35">
      <c r="A79" s="35" t="s">
        <v>353</v>
      </c>
      <c r="B79" s="36" t="s">
        <v>45</v>
      </c>
      <c r="C79" s="37" t="s">
        <v>15</v>
      </c>
      <c r="D79" s="38">
        <v>6480</v>
      </c>
      <c r="E79" s="38">
        <v>2405</v>
      </c>
      <c r="F79" s="38">
        <v>15587346</v>
      </c>
      <c r="G79" s="38">
        <v>1558734</v>
      </c>
      <c r="H79" s="38">
        <v>17146080</v>
      </c>
      <c r="I79" s="39" t="s">
        <v>89</v>
      </c>
      <c r="J79" s="39" t="s">
        <v>132</v>
      </c>
      <c r="K79" s="35" t="s">
        <v>146</v>
      </c>
    </row>
    <row r="80" spans="1:11" ht="20.100000000000001" customHeight="1" x14ac:dyDescent="0.35">
      <c r="A80" s="35" t="s">
        <v>354</v>
      </c>
      <c r="B80" s="36" t="s">
        <v>45</v>
      </c>
      <c r="C80" s="37" t="s">
        <v>15</v>
      </c>
      <c r="D80" s="38">
        <v>6480</v>
      </c>
      <c r="E80" s="38">
        <v>2405</v>
      </c>
      <c r="F80" s="38">
        <v>15587345</v>
      </c>
      <c r="G80" s="38">
        <v>1558735</v>
      </c>
      <c r="H80" s="38">
        <v>17146080</v>
      </c>
      <c r="I80" s="39" t="s">
        <v>89</v>
      </c>
      <c r="J80" s="39" t="s">
        <v>147</v>
      </c>
      <c r="K80" s="35" t="s">
        <v>146</v>
      </c>
    </row>
    <row r="81" spans="1:11" ht="20.100000000000001" customHeight="1" x14ac:dyDescent="0.35">
      <c r="A81" s="35" t="s">
        <v>355</v>
      </c>
      <c r="B81" s="36" t="s">
        <v>45</v>
      </c>
      <c r="C81" s="37" t="s">
        <v>15</v>
      </c>
      <c r="D81" s="38">
        <v>6480</v>
      </c>
      <c r="E81" s="38">
        <v>2405</v>
      </c>
      <c r="F81" s="38">
        <v>15587345</v>
      </c>
      <c r="G81" s="38">
        <v>1558735</v>
      </c>
      <c r="H81" s="38">
        <v>17146080</v>
      </c>
      <c r="I81" s="39" t="s">
        <v>89</v>
      </c>
      <c r="J81" s="39" t="s">
        <v>148</v>
      </c>
      <c r="K81" s="35" t="s">
        <v>146</v>
      </c>
    </row>
    <row r="82" spans="1:11" ht="20.100000000000001" customHeight="1" x14ac:dyDescent="0.35">
      <c r="A82" s="35" t="s">
        <v>356</v>
      </c>
      <c r="B82" s="44" t="s">
        <v>43</v>
      </c>
      <c r="C82" s="39" t="s">
        <v>12</v>
      </c>
      <c r="D82" s="38">
        <v>11160</v>
      </c>
      <c r="E82" s="38">
        <v>2577</v>
      </c>
      <c r="F82" s="38">
        <v>28762364</v>
      </c>
      <c r="G82" s="38">
        <v>2876236</v>
      </c>
      <c r="H82" s="38">
        <v>31638600</v>
      </c>
      <c r="I82" s="39" t="s">
        <v>89</v>
      </c>
      <c r="J82" s="39" t="s">
        <v>149</v>
      </c>
      <c r="K82" s="35" t="s">
        <v>146</v>
      </c>
    </row>
    <row r="83" spans="1:11" ht="20.100000000000001" customHeight="1" x14ac:dyDescent="0.35">
      <c r="A83" s="35" t="s">
        <v>357</v>
      </c>
      <c r="B83" s="44" t="s">
        <v>43</v>
      </c>
      <c r="C83" s="39" t="s">
        <v>12</v>
      </c>
      <c r="D83" s="38">
        <v>4716</v>
      </c>
      <c r="E83" s="38">
        <v>2577</v>
      </c>
      <c r="F83" s="38">
        <v>12154418</v>
      </c>
      <c r="G83" s="38">
        <v>1215442</v>
      </c>
      <c r="H83" s="38">
        <v>13369860</v>
      </c>
      <c r="I83" s="39" t="s">
        <v>89</v>
      </c>
      <c r="J83" s="39" t="s">
        <v>122</v>
      </c>
      <c r="K83" s="35" t="s">
        <v>146</v>
      </c>
    </row>
    <row r="84" spans="1:11" ht="20.100000000000001" customHeight="1" x14ac:dyDescent="0.35">
      <c r="A84" s="35" t="s">
        <v>358</v>
      </c>
      <c r="B84" s="44" t="s">
        <v>43</v>
      </c>
      <c r="C84" s="39" t="s">
        <v>12</v>
      </c>
      <c r="D84" s="38">
        <v>5196</v>
      </c>
      <c r="E84" s="38">
        <v>2577</v>
      </c>
      <c r="F84" s="38">
        <v>13391509</v>
      </c>
      <c r="G84" s="38">
        <v>1339151</v>
      </c>
      <c r="H84" s="38">
        <v>14730660</v>
      </c>
      <c r="I84" s="39" t="s">
        <v>89</v>
      </c>
      <c r="J84" s="39" t="s">
        <v>150</v>
      </c>
      <c r="K84" s="35" t="s">
        <v>146</v>
      </c>
    </row>
    <row r="85" spans="1:11" ht="20.100000000000001" customHeight="1" x14ac:dyDescent="0.35">
      <c r="A85" s="35" t="s">
        <v>359</v>
      </c>
      <c r="B85" s="44" t="s">
        <v>43</v>
      </c>
      <c r="C85" s="39" t="s">
        <v>12</v>
      </c>
      <c r="D85" s="38">
        <v>1812</v>
      </c>
      <c r="E85" s="38">
        <v>2577</v>
      </c>
      <c r="F85" s="38">
        <v>4670018</v>
      </c>
      <c r="G85" s="38">
        <v>467002</v>
      </c>
      <c r="H85" s="38">
        <v>5137020</v>
      </c>
      <c r="I85" s="39" t="s">
        <v>89</v>
      </c>
      <c r="J85" s="39" t="s">
        <v>151</v>
      </c>
      <c r="K85" s="35" t="s">
        <v>152</v>
      </c>
    </row>
    <row r="86" spans="1:11" ht="20.100000000000001" customHeight="1" x14ac:dyDescent="0.35">
      <c r="A86" s="35" t="s">
        <v>360</v>
      </c>
      <c r="B86" s="44" t="s">
        <v>43</v>
      </c>
      <c r="C86" s="39" t="s">
        <v>12</v>
      </c>
      <c r="D86" s="38">
        <v>1032</v>
      </c>
      <c r="E86" s="38">
        <v>4975</v>
      </c>
      <c r="F86" s="38">
        <v>5134200</v>
      </c>
      <c r="G86" s="38">
        <v>0</v>
      </c>
      <c r="H86" s="38">
        <v>5134200</v>
      </c>
      <c r="I86" s="39" t="s">
        <v>153</v>
      </c>
      <c r="J86" s="39" t="s">
        <v>154</v>
      </c>
      <c r="K86" s="35"/>
    </row>
    <row r="87" spans="1:11" ht="20.100000000000001" customHeight="1" x14ac:dyDescent="0.35">
      <c r="A87" s="35" t="s">
        <v>361</v>
      </c>
      <c r="B87" s="44" t="s">
        <v>43</v>
      </c>
      <c r="C87" s="39" t="s">
        <v>12</v>
      </c>
      <c r="D87" s="38">
        <v>24</v>
      </c>
      <c r="E87" s="38">
        <v>4975</v>
      </c>
      <c r="F87" s="38">
        <v>119400</v>
      </c>
      <c r="G87" s="38">
        <v>0</v>
      </c>
      <c r="H87" s="38">
        <v>119400</v>
      </c>
      <c r="I87" s="39" t="s">
        <v>153</v>
      </c>
      <c r="J87" s="39" t="s">
        <v>155</v>
      </c>
      <c r="K87" s="35"/>
    </row>
    <row r="88" spans="1:11" ht="20.100000000000001" customHeight="1" x14ac:dyDescent="0.35">
      <c r="A88" s="35" t="s">
        <v>362</v>
      </c>
      <c r="B88" s="44" t="s">
        <v>43</v>
      </c>
      <c r="C88" s="39" t="s">
        <v>12</v>
      </c>
      <c r="D88" s="38">
        <v>72</v>
      </c>
      <c r="E88" s="38">
        <v>4975</v>
      </c>
      <c r="F88" s="38">
        <v>358200</v>
      </c>
      <c r="G88" s="38">
        <v>0</v>
      </c>
      <c r="H88" s="38">
        <v>358200</v>
      </c>
      <c r="I88" s="39" t="s">
        <v>153</v>
      </c>
      <c r="J88" s="39" t="s">
        <v>156</v>
      </c>
      <c r="K88" s="35"/>
    </row>
    <row r="89" spans="1:11" ht="20.100000000000001" customHeight="1" x14ac:dyDescent="0.35">
      <c r="A89" s="35" t="s">
        <v>363</v>
      </c>
      <c r="B89" s="36" t="s">
        <v>45</v>
      </c>
      <c r="C89" s="37" t="s">
        <v>15</v>
      </c>
      <c r="D89" s="38">
        <v>6000</v>
      </c>
      <c r="E89" s="38">
        <v>2405</v>
      </c>
      <c r="F89" s="38">
        <v>14432727</v>
      </c>
      <c r="G89" s="38">
        <v>1443273</v>
      </c>
      <c r="H89" s="38">
        <v>15876000</v>
      </c>
      <c r="I89" s="39" t="s">
        <v>89</v>
      </c>
      <c r="J89" s="39" t="s">
        <v>132</v>
      </c>
      <c r="K89" s="35" t="s">
        <v>152</v>
      </c>
    </row>
    <row r="90" spans="1:11" ht="20.100000000000001" customHeight="1" x14ac:dyDescent="0.35">
      <c r="A90" s="35" t="s">
        <v>364</v>
      </c>
      <c r="B90" s="36" t="s">
        <v>45</v>
      </c>
      <c r="C90" s="37" t="s">
        <v>15</v>
      </c>
      <c r="D90" s="38">
        <v>6480</v>
      </c>
      <c r="E90" s="38">
        <v>2405</v>
      </c>
      <c r="F90" s="38">
        <v>15587345</v>
      </c>
      <c r="G90" s="38">
        <v>1558735</v>
      </c>
      <c r="H90" s="38">
        <v>17146080</v>
      </c>
      <c r="I90" s="39" t="s">
        <v>89</v>
      </c>
      <c r="J90" s="39" t="s">
        <v>132</v>
      </c>
      <c r="K90" s="35" t="s">
        <v>152</v>
      </c>
    </row>
    <row r="91" spans="1:11" ht="20.100000000000001" customHeight="1" x14ac:dyDescent="0.35">
      <c r="A91" s="35" t="s">
        <v>365</v>
      </c>
      <c r="B91" s="40" t="s">
        <v>44</v>
      </c>
      <c r="C91" s="39" t="s">
        <v>41</v>
      </c>
      <c r="D91" s="38">
        <v>1200</v>
      </c>
      <c r="E91" s="38">
        <v>1369</v>
      </c>
      <c r="F91" s="38">
        <v>1642909</v>
      </c>
      <c r="G91" s="38">
        <v>164291</v>
      </c>
      <c r="H91" s="38">
        <v>1807200</v>
      </c>
      <c r="I91" s="39" t="s">
        <v>89</v>
      </c>
      <c r="J91" s="39" t="s">
        <v>157</v>
      </c>
      <c r="K91" s="35" t="s">
        <v>152</v>
      </c>
    </row>
    <row r="92" spans="1:11" ht="20.100000000000001" customHeight="1" x14ac:dyDescent="0.35">
      <c r="A92" s="35" t="s">
        <v>366</v>
      </c>
      <c r="B92" s="44" t="s">
        <v>43</v>
      </c>
      <c r="C92" s="39" t="s">
        <v>12</v>
      </c>
      <c r="D92" s="38">
        <v>3840</v>
      </c>
      <c r="E92" s="38">
        <v>2577</v>
      </c>
      <c r="F92" s="38">
        <v>9896727</v>
      </c>
      <c r="G92" s="38">
        <v>989673</v>
      </c>
      <c r="H92" s="38">
        <v>10886400</v>
      </c>
      <c r="I92" s="39" t="s">
        <v>89</v>
      </c>
      <c r="J92" s="39" t="s">
        <v>122</v>
      </c>
      <c r="K92" s="35" t="s">
        <v>158</v>
      </c>
    </row>
    <row r="93" spans="1:11" ht="20.100000000000001" customHeight="1" x14ac:dyDescent="0.35">
      <c r="A93" s="35" t="s">
        <v>367</v>
      </c>
      <c r="B93" s="44" t="s">
        <v>43</v>
      </c>
      <c r="C93" s="39" t="s">
        <v>12</v>
      </c>
      <c r="D93" s="38">
        <v>8</v>
      </c>
      <c r="E93" s="38">
        <v>4975</v>
      </c>
      <c r="F93" s="38">
        <v>39800</v>
      </c>
      <c r="G93" s="38">
        <v>0</v>
      </c>
      <c r="H93" s="38">
        <v>39800</v>
      </c>
      <c r="I93" s="39" t="s">
        <v>153</v>
      </c>
      <c r="J93" s="39" t="s">
        <v>159</v>
      </c>
      <c r="K93" s="35"/>
    </row>
    <row r="94" spans="1:11" ht="20.100000000000001" customHeight="1" x14ac:dyDescent="0.35">
      <c r="A94" s="35" t="s">
        <v>368</v>
      </c>
      <c r="B94" s="36" t="s">
        <v>45</v>
      </c>
      <c r="C94" s="37" t="s">
        <v>15</v>
      </c>
      <c r="D94" s="38">
        <v>240</v>
      </c>
      <c r="E94" s="38">
        <v>2405</v>
      </c>
      <c r="F94" s="38">
        <v>577309</v>
      </c>
      <c r="G94" s="38">
        <v>57731</v>
      </c>
      <c r="H94" s="38">
        <v>635040</v>
      </c>
      <c r="I94" s="39" t="s">
        <v>89</v>
      </c>
      <c r="J94" s="39" t="s">
        <v>132</v>
      </c>
      <c r="K94" s="35" t="s">
        <v>160</v>
      </c>
    </row>
    <row r="95" spans="1:11" ht="20.100000000000001" customHeight="1" x14ac:dyDescent="0.35">
      <c r="A95" s="35" t="s">
        <v>369</v>
      </c>
      <c r="B95" s="36" t="s">
        <v>45</v>
      </c>
      <c r="C95" s="37" t="s">
        <v>15</v>
      </c>
      <c r="D95" s="38">
        <v>7440</v>
      </c>
      <c r="E95" s="38">
        <v>2405</v>
      </c>
      <c r="F95" s="38">
        <v>17896582</v>
      </c>
      <c r="G95" s="38">
        <v>1789658</v>
      </c>
      <c r="H95" s="38">
        <v>19686240</v>
      </c>
      <c r="I95" s="39" t="s">
        <v>89</v>
      </c>
      <c r="J95" s="39" t="s">
        <v>132</v>
      </c>
      <c r="K95" s="35" t="s">
        <v>160</v>
      </c>
    </row>
    <row r="96" spans="1:11" ht="20.100000000000001" customHeight="1" x14ac:dyDescent="0.35">
      <c r="A96" s="35" t="s">
        <v>370</v>
      </c>
      <c r="B96" s="40" t="s">
        <v>44</v>
      </c>
      <c r="C96" s="39" t="s">
        <v>41</v>
      </c>
      <c r="D96" s="38">
        <v>1200</v>
      </c>
      <c r="E96" s="38">
        <v>1369</v>
      </c>
      <c r="F96" s="38">
        <v>1642909</v>
      </c>
      <c r="G96" s="38">
        <v>164291</v>
      </c>
      <c r="H96" s="38">
        <v>1807200</v>
      </c>
      <c r="I96" s="39" t="s">
        <v>89</v>
      </c>
      <c r="J96" s="39" t="s">
        <v>157</v>
      </c>
      <c r="K96" s="35" t="s">
        <v>160</v>
      </c>
    </row>
    <row r="97" spans="1:11" ht="20.100000000000001" customHeight="1" x14ac:dyDescent="0.35">
      <c r="A97" s="35" t="s">
        <v>371</v>
      </c>
      <c r="B97" s="40" t="s">
        <v>44</v>
      </c>
      <c r="C97" s="39" t="s">
        <v>41</v>
      </c>
      <c r="D97" s="38">
        <v>1200</v>
      </c>
      <c r="E97" s="38">
        <v>1369</v>
      </c>
      <c r="F97" s="38">
        <v>1642909</v>
      </c>
      <c r="G97" s="38">
        <v>164291</v>
      </c>
      <c r="H97" s="38">
        <v>1807200</v>
      </c>
      <c r="I97" s="39" t="s">
        <v>89</v>
      </c>
      <c r="J97" s="39" t="s">
        <v>157</v>
      </c>
      <c r="K97" s="35" t="s">
        <v>160</v>
      </c>
    </row>
    <row r="98" spans="1:11" ht="20.100000000000001" customHeight="1" x14ac:dyDescent="0.35">
      <c r="A98" s="35" t="s">
        <v>372</v>
      </c>
      <c r="B98" s="40" t="s">
        <v>44</v>
      </c>
      <c r="C98" s="39" t="s">
        <v>41</v>
      </c>
      <c r="D98" s="38">
        <v>7200</v>
      </c>
      <c r="E98" s="38">
        <v>1369</v>
      </c>
      <c r="F98" s="38">
        <v>9857455</v>
      </c>
      <c r="G98" s="38">
        <v>985745</v>
      </c>
      <c r="H98" s="38">
        <v>10843200</v>
      </c>
      <c r="I98" s="39" t="s">
        <v>89</v>
      </c>
      <c r="J98" s="39" t="s">
        <v>157</v>
      </c>
      <c r="K98" s="35" t="s">
        <v>160</v>
      </c>
    </row>
    <row r="99" spans="1:11" ht="20.100000000000001" customHeight="1" x14ac:dyDescent="0.35">
      <c r="A99" s="35" t="s">
        <v>373</v>
      </c>
      <c r="B99" s="44" t="s">
        <v>43</v>
      </c>
      <c r="C99" s="39" t="s">
        <v>12</v>
      </c>
      <c r="D99" s="38">
        <v>7680</v>
      </c>
      <c r="E99" s="38">
        <v>2577</v>
      </c>
      <c r="F99" s="38">
        <v>19793455</v>
      </c>
      <c r="G99" s="38">
        <v>1979345</v>
      </c>
      <c r="H99" s="38">
        <v>21772800</v>
      </c>
      <c r="I99" s="39" t="s">
        <v>89</v>
      </c>
      <c r="J99" s="39" t="s">
        <v>117</v>
      </c>
      <c r="K99" s="35" t="s">
        <v>160</v>
      </c>
    </row>
    <row r="100" spans="1:11" ht="20.100000000000001" customHeight="1" x14ac:dyDescent="0.35">
      <c r="A100" s="35" t="s">
        <v>374</v>
      </c>
      <c r="B100" s="44" t="s">
        <v>43</v>
      </c>
      <c r="C100" s="39" t="s">
        <v>12</v>
      </c>
      <c r="D100" s="38">
        <v>1920</v>
      </c>
      <c r="E100" s="38">
        <v>2577</v>
      </c>
      <c r="F100" s="38">
        <v>4948364</v>
      </c>
      <c r="G100" s="38">
        <v>494836</v>
      </c>
      <c r="H100" s="38">
        <v>5443200</v>
      </c>
      <c r="I100" s="39" t="s">
        <v>89</v>
      </c>
      <c r="J100" s="39" t="s">
        <v>117</v>
      </c>
      <c r="K100" s="35" t="s">
        <v>161</v>
      </c>
    </row>
    <row r="101" spans="1:11" ht="20.100000000000001" customHeight="1" x14ac:dyDescent="0.35">
      <c r="A101" s="35" t="s">
        <v>375</v>
      </c>
      <c r="B101" s="40" t="s">
        <v>44</v>
      </c>
      <c r="C101" s="39" t="s">
        <v>41</v>
      </c>
      <c r="D101" s="38">
        <v>4800</v>
      </c>
      <c r="E101" s="38">
        <v>1369</v>
      </c>
      <c r="F101" s="38">
        <v>6571637</v>
      </c>
      <c r="G101" s="38">
        <v>657163</v>
      </c>
      <c r="H101" s="38">
        <v>7228800</v>
      </c>
      <c r="I101" s="39" t="s">
        <v>89</v>
      </c>
      <c r="J101" s="39" t="s">
        <v>157</v>
      </c>
      <c r="K101" s="35" t="s">
        <v>162</v>
      </c>
    </row>
    <row r="102" spans="1:11" ht="20.100000000000001" customHeight="1" x14ac:dyDescent="0.35">
      <c r="A102" s="35" t="s">
        <v>376</v>
      </c>
      <c r="B102" s="40" t="s">
        <v>44</v>
      </c>
      <c r="C102" s="39" t="s">
        <v>41</v>
      </c>
      <c r="D102" s="38">
        <v>4800</v>
      </c>
      <c r="E102" s="38">
        <v>1369</v>
      </c>
      <c r="F102" s="38">
        <v>6571637</v>
      </c>
      <c r="G102" s="38">
        <v>657163</v>
      </c>
      <c r="H102" s="38">
        <v>7228800</v>
      </c>
      <c r="I102" s="39" t="s">
        <v>89</v>
      </c>
      <c r="J102" s="39" t="s">
        <v>157</v>
      </c>
      <c r="K102" s="35" t="s">
        <v>162</v>
      </c>
    </row>
    <row r="103" spans="1:11" ht="20.100000000000001" customHeight="1" x14ac:dyDescent="0.35">
      <c r="A103" s="35" t="s">
        <v>377</v>
      </c>
      <c r="B103" s="44" t="s">
        <v>43</v>
      </c>
      <c r="C103" s="39" t="s">
        <v>12</v>
      </c>
      <c r="D103" s="38">
        <v>22080</v>
      </c>
      <c r="E103" s="38">
        <v>2577</v>
      </c>
      <c r="F103" s="38">
        <v>56906182</v>
      </c>
      <c r="G103" s="38">
        <v>5690618</v>
      </c>
      <c r="H103" s="38">
        <v>62596800</v>
      </c>
      <c r="I103" s="39" t="s">
        <v>89</v>
      </c>
      <c r="J103" s="39" t="s">
        <v>137</v>
      </c>
      <c r="K103" s="35" t="s">
        <v>163</v>
      </c>
    </row>
    <row r="104" spans="1:11" ht="20.100000000000001" customHeight="1" x14ac:dyDescent="0.35">
      <c r="A104" s="35" t="s">
        <v>378</v>
      </c>
      <c r="B104" s="44" t="s">
        <v>43</v>
      </c>
      <c r="C104" s="39" t="s">
        <v>12</v>
      </c>
      <c r="D104" s="38">
        <v>240</v>
      </c>
      <c r="E104" s="38">
        <v>2577</v>
      </c>
      <c r="F104" s="38">
        <v>618545</v>
      </c>
      <c r="G104" s="38">
        <v>61855</v>
      </c>
      <c r="H104" s="38">
        <v>680400</v>
      </c>
      <c r="I104" s="39" t="s">
        <v>89</v>
      </c>
      <c r="J104" s="39" t="s">
        <v>140</v>
      </c>
      <c r="K104" s="35" t="s">
        <v>162</v>
      </c>
    </row>
    <row r="105" spans="1:11" ht="20.100000000000001" customHeight="1" x14ac:dyDescent="0.35">
      <c r="A105" s="35" t="s">
        <v>379</v>
      </c>
      <c r="B105" s="44" t="s">
        <v>43</v>
      </c>
      <c r="C105" s="39" t="s">
        <v>12</v>
      </c>
      <c r="D105" s="38">
        <v>4200</v>
      </c>
      <c r="E105" s="38">
        <v>2577</v>
      </c>
      <c r="F105" s="38">
        <v>10824545</v>
      </c>
      <c r="G105" s="38">
        <v>1082455</v>
      </c>
      <c r="H105" s="38">
        <v>11907000</v>
      </c>
      <c r="I105" s="39" t="s">
        <v>89</v>
      </c>
      <c r="J105" s="39" t="s">
        <v>164</v>
      </c>
      <c r="K105" s="35" t="s">
        <v>163</v>
      </c>
    </row>
    <row r="106" spans="1:11" ht="20.100000000000001" customHeight="1" x14ac:dyDescent="0.35">
      <c r="A106" s="35" t="s">
        <v>380</v>
      </c>
      <c r="B106" s="44" t="s">
        <v>43</v>
      </c>
      <c r="C106" s="39" t="s">
        <v>12</v>
      </c>
      <c r="D106" s="38">
        <v>960</v>
      </c>
      <c r="E106" s="38">
        <v>2577</v>
      </c>
      <c r="F106" s="38">
        <v>2474182</v>
      </c>
      <c r="G106" s="38">
        <v>247418</v>
      </c>
      <c r="H106" s="38">
        <v>2721600</v>
      </c>
      <c r="I106" s="39" t="s">
        <v>89</v>
      </c>
      <c r="J106" s="39" t="s">
        <v>140</v>
      </c>
      <c r="K106" s="35" t="s">
        <v>165</v>
      </c>
    </row>
    <row r="107" spans="1:11" ht="20.100000000000001" customHeight="1" x14ac:dyDescent="0.35">
      <c r="A107" s="35" t="s">
        <v>381</v>
      </c>
      <c r="B107" s="44" t="s">
        <v>43</v>
      </c>
      <c r="C107" s="39" t="s">
        <v>12</v>
      </c>
      <c r="D107" s="38">
        <v>2400</v>
      </c>
      <c r="E107" s="38">
        <v>2577</v>
      </c>
      <c r="F107" s="38">
        <v>6185455</v>
      </c>
      <c r="G107" s="38">
        <v>618545</v>
      </c>
      <c r="H107" s="38">
        <v>6804000</v>
      </c>
      <c r="I107" s="39" t="s">
        <v>89</v>
      </c>
      <c r="J107" s="39" t="s">
        <v>166</v>
      </c>
      <c r="K107" s="35" t="s">
        <v>165</v>
      </c>
    </row>
    <row r="108" spans="1:11" ht="20.100000000000001" customHeight="1" x14ac:dyDescent="0.35">
      <c r="A108" s="35" t="s">
        <v>382</v>
      </c>
      <c r="B108" s="44" t="s">
        <v>43</v>
      </c>
      <c r="C108" s="39" t="s">
        <v>12</v>
      </c>
      <c r="D108" s="38">
        <v>856</v>
      </c>
      <c r="E108" s="38">
        <v>4975</v>
      </c>
      <c r="F108" s="38">
        <v>4258600</v>
      </c>
      <c r="G108" s="38">
        <v>0</v>
      </c>
      <c r="H108" s="38">
        <v>4258600</v>
      </c>
      <c r="I108" s="39" t="s">
        <v>153</v>
      </c>
      <c r="J108" s="39" t="s">
        <v>167</v>
      </c>
      <c r="K108" s="35"/>
    </row>
    <row r="109" spans="1:11" ht="20.100000000000001" customHeight="1" x14ac:dyDescent="0.35">
      <c r="A109" s="35" t="s">
        <v>383</v>
      </c>
      <c r="B109" s="44" t="s">
        <v>43</v>
      </c>
      <c r="C109" s="39" t="s">
        <v>12</v>
      </c>
      <c r="D109" s="38">
        <v>64</v>
      </c>
      <c r="E109" s="38">
        <v>4975</v>
      </c>
      <c r="F109" s="38">
        <v>318400</v>
      </c>
      <c r="G109" s="38">
        <v>0</v>
      </c>
      <c r="H109" s="38">
        <v>318400</v>
      </c>
      <c r="I109" s="39" t="s">
        <v>153</v>
      </c>
      <c r="J109" s="39" t="s">
        <v>168</v>
      </c>
      <c r="K109" s="35"/>
    </row>
    <row r="110" spans="1:11" ht="20.100000000000001" customHeight="1" x14ac:dyDescent="0.35">
      <c r="A110" s="35" t="s">
        <v>384</v>
      </c>
      <c r="B110" s="36" t="s">
        <v>45</v>
      </c>
      <c r="C110" s="37" t="s">
        <v>15</v>
      </c>
      <c r="D110" s="38">
        <v>2221</v>
      </c>
      <c r="E110" s="38">
        <v>2405</v>
      </c>
      <c r="F110" s="38">
        <v>5342515</v>
      </c>
      <c r="G110" s="38">
        <v>534251</v>
      </c>
      <c r="H110" s="38">
        <v>5876766</v>
      </c>
      <c r="I110" s="39" t="s">
        <v>89</v>
      </c>
      <c r="J110" s="39" t="s">
        <v>151</v>
      </c>
      <c r="K110" s="35" t="s">
        <v>169</v>
      </c>
    </row>
    <row r="111" spans="1:11" ht="20.100000000000001" customHeight="1" x14ac:dyDescent="0.35">
      <c r="A111" s="35" t="s">
        <v>385</v>
      </c>
      <c r="B111" s="36" t="s">
        <v>45</v>
      </c>
      <c r="C111" s="37" t="s">
        <v>15</v>
      </c>
      <c r="D111" s="38">
        <v>4500</v>
      </c>
      <c r="E111" s="38">
        <v>2405</v>
      </c>
      <c r="F111" s="38">
        <v>10824546</v>
      </c>
      <c r="G111" s="38">
        <v>1082454</v>
      </c>
      <c r="H111" s="38">
        <v>11907000</v>
      </c>
      <c r="I111" s="39" t="s">
        <v>89</v>
      </c>
      <c r="J111" s="39" t="s">
        <v>151</v>
      </c>
      <c r="K111" s="35" t="s">
        <v>170</v>
      </c>
    </row>
    <row r="112" spans="1:11" ht="20.100000000000001" customHeight="1" x14ac:dyDescent="0.35">
      <c r="A112" s="35" t="s">
        <v>386</v>
      </c>
      <c r="B112" s="36" t="s">
        <v>45</v>
      </c>
      <c r="C112" s="37" t="s">
        <v>15</v>
      </c>
      <c r="D112" s="38">
        <v>1920</v>
      </c>
      <c r="E112" s="38">
        <v>2405</v>
      </c>
      <c r="F112" s="38">
        <v>4618473</v>
      </c>
      <c r="G112" s="38">
        <v>461847</v>
      </c>
      <c r="H112" s="38">
        <v>5080320</v>
      </c>
      <c r="I112" s="39" t="s">
        <v>89</v>
      </c>
      <c r="J112" s="39" t="s">
        <v>151</v>
      </c>
      <c r="K112" s="35" t="s">
        <v>171</v>
      </c>
    </row>
    <row r="113" spans="1:11" ht="20.100000000000001" customHeight="1" x14ac:dyDescent="0.35">
      <c r="A113" s="35" t="s">
        <v>387</v>
      </c>
      <c r="B113" s="36" t="s">
        <v>45</v>
      </c>
      <c r="C113" s="37" t="s">
        <v>15</v>
      </c>
      <c r="D113" s="38">
        <v>480</v>
      </c>
      <c r="E113" s="38">
        <v>2405</v>
      </c>
      <c r="F113" s="38">
        <v>1154618</v>
      </c>
      <c r="G113" s="38">
        <v>115462</v>
      </c>
      <c r="H113" s="38">
        <v>1270080</v>
      </c>
      <c r="I113" s="39" t="s">
        <v>89</v>
      </c>
      <c r="J113" s="39" t="s">
        <v>151</v>
      </c>
      <c r="K113" s="35" t="s">
        <v>172</v>
      </c>
    </row>
    <row r="114" spans="1:11" ht="20.100000000000001" customHeight="1" x14ac:dyDescent="0.35">
      <c r="A114" s="35" t="s">
        <v>388</v>
      </c>
      <c r="B114" s="36" t="s">
        <v>45</v>
      </c>
      <c r="C114" s="37" t="s">
        <v>15</v>
      </c>
      <c r="D114" s="38">
        <v>479</v>
      </c>
      <c r="E114" s="38">
        <v>2405</v>
      </c>
      <c r="F114" s="38">
        <v>1152213</v>
      </c>
      <c r="G114" s="38">
        <v>115221</v>
      </c>
      <c r="H114" s="38">
        <v>1267434</v>
      </c>
      <c r="I114" s="39" t="s">
        <v>89</v>
      </c>
      <c r="J114" s="39" t="s">
        <v>151</v>
      </c>
      <c r="K114" s="35" t="s">
        <v>173</v>
      </c>
    </row>
    <row r="115" spans="1:11" ht="20.100000000000001" customHeight="1" x14ac:dyDescent="0.35">
      <c r="A115" s="35" t="s">
        <v>389</v>
      </c>
      <c r="B115" s="44" t="s">
        <v>43</v>
      </c>
      <c r="C115" s="39" t="s">
        <v>12</v>
      </c>
      <c r="D115" s="38">
        <v>4200</v>
      </c>
      <c r="E115" s="38">
        <v>2577</v>
      </c>
      <c r="F115" s="38">
        <v>10824546</v>
      </c>
      <c r="G115" s="38">
        <v>1082454</v>
      </c>
      <c r="H115" s="38">
        <v>11907000</v>
      </c>
      <c r="I115" s="39" t="s">
        <v>89</v>
      </c>
      <c r="J115" s="39" t="s">
        <v>119</v>
      </c>
      <c r="K115" s="35" t="s">
        <v>171</v>
      </c>
    </row>
    <row r="116" spans="1:11" ht="20.100000000000001" customHeight="1" x14ac:dyDescent="0.35">
      <c r="A116" s="35" t="s">
        <v>390</v>
      </c>
      <c r="B116" s="44" t="s">
        <v>43</v>
      </c>
      <c r="C116" s="39" t="s">
        <v>12</v>
      </c>
      <c r="D116" s="38">
        <v>168</v>
      </c>
      <c r="E116" s="38">
        <v>2577</v>
      </c>
      <c r="F116" s="38">
        <v>432982</v>
      </c>
      <c r="G116" s="38">
        <v>43298</v>
      </c>
      <c r="H116" s="38">
        <v>476280</v>
      </c>
      <c r="I116" s="39" t="s">
        <v>89</v>
      </c>
      <c r="J116" s="39" t="s">
        <v>137</v>
      </c>
      <c r="K116" s="35" t="s">
        <v>173</v>
      </c>
    </row>
    <row r="117" spans="1:11" ht="20.100000000000001" customHeight="1" x14ac:dyDescent="0.35">
      <c r="A117" s="35" t="s">
        <v>391</v>
      </c>
      <c r="B117" s="44" t="s">
        <v>43</v>
      </c>
      <c r="C117" s="39" t="s">
        <v>12</v>
      </c>
      <c r="D117" s="38">
        <v>468</v>
      </c>
      <c r="E117" s="38">
        <v>2577</v>
      </c>
      <c r="F117" s="38">
        <v>1206164</v>
      </c>
      <c r="G117" s="38">
        <v>120616</v>
      </c>
      <c r="H117" s="38">
        <v>1326780</v>
      </c>
      <c r="I117" s="39" t="s">
        <v>89</v>
      </c>
      <c r="J117" s="39" t="s">
        <v>137</v>
      </c>
      <c r="K117" s="35" t="s">
        <v>173</v>
      </c>
    </row>
    <row r="118" spans="1:11" ht="20.100000000000001" customHeight="1" x14ac:dyDescent="0.35">
      <c r="A118" s="35" t="s">
        <v>392</v>
      </c>
      <c r="B118" s="44" t="s">
        <v>43</v>
      </c>
      <c r="C118" s="39" t="s">
        <v>12</v>
      </c>
      <c r="D118" s="38">
        <v>240</v>
      </c>
      <c r="E118" s="38">
        <v>2577</v>
      </c>
      <c r="F118" s="38">
        <v>618546</v>
      </c>
      <c r="G118" s="38">
        <v>61854</v>
      </c>
      <c r="H118" s="38">
        <v>680400</v>
      </c>
      <c r="I118" s="39" t="s">
        <v>89</v>
      </c>
      <c r="J118" s="39" t="s">
        <v>110</v>
      </c>
      <c r="K118" s="35" t="s">
        <v>169</v>
      </c>
    </row>
    <row r="119" spans="1:11" ht="20.100000000000001" customHeight="1" x14ac:dyDescent="0.35">
      <c r="A119" s="35" t="s">
        <v>393</v>
      </c>
      <c r="B119" s="36" t="s">
        <v>45</v>
      </c>
      <c r="C119" s="37" t="s">
        <v>15</v>
      </c>
      <c r="D119" s="38">
        <v>2884</v>
      </c>
      <c r="E119" s="38">
        <v>3150</v>
      </c>
      <c r="F119" s="38">
        <v>9086175</v>
      </c>
      <c r="G119" s="38">
        <v>908618</v>
      </c>
      <c r="H119" s="38">
        <v>9994793</v>
      </c>
      <c r="I119" s="39" t="s">
        <v>174</v>
      </c>
      <c r="J119" s="39"/>
      <c r="K119" s="35" t="s">
        <v>169</v>
      </c>
    </row>
    <row r="120" spans="1:11" ht="20.100000000000001" customHeight="1" x14ac:dyDescent="0.35">
      <c r="A120" s="35" t="s">
        <v>394</v>
      </c>
      <c r="B120" s="44" t="s">
        <v>43</v>
      </c>
      <c r="C120" s="39" t="s">
        <v>12</v>
      </c>
      <c r="D120" s="38">
        <v>40</v>
      </c>
      <c r="E120" s="38">
        <v>4975</v>
      </c>
      <c r="F120" s="38">
        <v>199000</v>
      </c>
      <c r="G120" s="38">
        <v>0</v>
      </c>
      <c r="H120" s="38">
        <v>199000</v>
      </c>
      <c r="I120" s="39" t="s">
        <v>153</v>
      </c>
      <c r="J120" s="39" t="s">
        <v>175</v>
      </c>
      <c r="K120" s="35"/>
    </row>
    <row r="121" spans="1:11" ht="20.100000000000001" customHeight="1" x14ac:dyDescent="0.35">
      <c r="A121" s="35" t="s">
        <v>395</v>
      </c>
      <c r="B121" s="44" t="s">
        <v>43</v>
      </c>
      <c r="C121" s="39" t="s">
        <v>12</v>
      </c>
      <c r="D121" s="38">
        <v>-8</v>
      </c>
      <c r="E121" s="38">
        <v>4975</v>
      </c>
      <c r="F121" s="38">
        <v>-39800</v>
      </c>
      <c r="G121" s="38">
        <v>0</v>
      </c>
      <c r="H121" s="38">
        <v>-39800</v>
      </c>
      <c r="I121" s="39" t="s">
        <v>153</v>
      </c>
      <c r="J121" s="39" t="s">
        <v>176</v>
      </c>
      <c r="K121" s="35"/>
    </row>
    <row r="122" spans="1:11" ht="20.100000000000001" customHeight="1" x14ac:dyDescent="0.35">
      <c r="A122" s="35" t="s">
        <v>396</v>
      </c>
      <c r="B122" s="44" t="s">
        <v>43</v>
      </c>
      <c r="C122" s="39" t="s">
        <v>12</v>
      </c>
      <c r="D122" s="38">
        <v>1200</v>
      </c>
      <c r="E122" s="38">
        <v>2577</v>
      </c>
      <c r="F122" s="38">
        <v>3092727</v>
      </c>
      <c r="G122" s="38">
        <v>309273</v>
      </c>
      <c r="H122" s="38">
        <v>3402000</v>
      </c>
      <c r="I122" s="39" t="s">
        <v>89</v>
      </c>
      <c r="J122" s="39" t="s">
        <v>147</v>
      </c>
      <c r="K122" s="35" t="s">
        <v>172</v>
      </c>
    </row>
    <row r="123" spans="1:11" ht="20.100000000000001" customHeight="1" x14ac:dyDescent="0.35">
      <c r="A123" s="35" t="s">
        <v>397</v>
      </c>
      <c r="B123" s="44" t="s">
        <v>43</v>
      </c>
      <c r="C123" s="39" t="s">
        <v>12</v>
      </c>
      <c r="D123" s="38">
        <v>6000</v>
      </c>
      <c r="E123" s="38">
        <v>2577</v>
      </c>
      <c r="F123" s="38">
        <v>15463637</v>
      </c>
      <c r="G123" s="38">
        <v>1546363</v>
      </c>
      <c r="H123" s="38">
        <v>17010000</v>
      </c>
      <c r="I123" s="39" t="s">
        <v>89</v>
      </c>
      <c r="J123" s="39" t="s">
        <v>147</v>
      </c>
      <c r="K123" s="35" t="s">
        <v>172</v>
      </c>
    </row>
    <row r="124" spans="1:11" ht="20.100000000000001" customHeight="1" x14ac:dyDescent="0.35">
      <c r="A124" s="35" t="s">
        <v>398</v>
      </c>
      <c r="B124" s="44" t="s">
        <v>43</v>
      </c>
      <c r="C124" s="39" t="s">
        <v>12</v>
      </c>
      <c r="D124" s="38">
        <v>40320</v>
      </c>
      <c r="E124" s="38">
        <v>2577</v>
      </c>
      <c r="F124" s="38">
        <v>103915636</v>
      </c>
      <c r="G124" s="38">
        <v>10391564</v>
      </c>
      <c r="H124" s="38">
        <v>114307200</v>
      </c>
      <c r="I124" s="39" t="s">
        <v>89</v>
      </c>
      <c r="J124" s="39" t="s">
        <v>117</v>
      </c>
      <c r="K124" s="35" t="s">
        <v>173</v>
      </c>
    </row>
    <row r="125" spans="1:11" ht="20.100000000000001" customHeight="1" x14ac:dyDescent="0.35">
      <c r="A125" s="35" t="s">
        <v>399</v>
      </c>
      <c r="B125" s="44" t="s">
        <v>43</v>
      </c>
      <c r="C125" s="39" t="s">
        <v>12</v>
      </c>
      <c r="D125" s="38">
        <v>300</v>
      </c>
      <c r="E125" s="38">
        <v>2850</v>
      </c>
      <c r="F125" s="38">
        <v>855000</v>
      </c>
      <c r="G125" s="38">
        <v>85500</v>
      </c>
      <c r="H125" s="38">
        <v>940500</v>
      </c>
      <c r="I125" s="39" t="s">
        <v>177</v>
      </c>
      <c r="J125" s="39" t="s">
        <v>178</v>
      </c>
      <c r="K125" s="35" t="s">
        <v>179</v>
      </c>
    </row>
    <row r="126" spans="1:11" ht="20.100000000000001" customHeight="1" x14ac:dyDescent="0.35">
      <c r="A126" s="54" t="s">
        <v>400</v>
      </c>
      <c r="B126" s="55"/>
      <c r="C126" s="56"/>
      <c r="D126" s="41">
        <f>SUM(D49:D125)</f>
        <v>259728</v>
      </c>
      <c r="E126" s="41">
        <f>SUM(E49:E125)</f>
        <v>200695</v>
      </c>
      <c r="F126" s="41">
        <f>SUM(F49:F125)</f>
        <v>606991198</v>
      </c>
      <c r="G126" s="41">
        <f>SUM(G49:G125)</f>
        <v>59660335</v>
      </c>
      <c r="H126" s="41">
        <f>SUM(H49:H125)</f>
        <v>666651533</v>
      </c>
      <c r="I126" s="42"/>
      <c r="J126" s="42"/>
      <c r="K126" s="43"/>
    </row>
    <row r="127" spans="1:11" ht="20.100000000000001" customHeight="1" x14ac:dyDescent="0.35">
      <c r="A127" s="35" t="s">
        <v>401</v>
      </c>
      <c r="B127" s="44" t="s">
        <v>43</v>
      </c>
      <c r="C127" s="39" t="s">
        <v>12</v>
      </c>
      <c r="D127" s="38">
        <v>300</v>
      </c>
      <c r="E127" s="38">
        <v>2850</v>
      </c>
      <c r="F127" s="38">
        <v>855000</v>
      </c>
      <c r="G127" s="38">
        <v>85500</v>
      </c>
      <c r="H127" s="38">
        <v>940500</v>
      </c>
      <c r="I127" s="39" t="s">
        <v>177</v>
      </c>
      <c r="J127" s="39" t="s">
        <v>180</v>
      </c>
      <c r="K127" s="35" t="s">
        <v>179</v>
      </c>
    </row>
    <row r="128" spans="1:11" ht="20.100000000000001" customHeight="1" x14ac:dyDescent="0.35">
      <c r="A128" s="35" t="s">
        <v>402</v>
      </c>
      <c r="B128" s="44" t="s">
        <v>43</v>
      </c>
      <c r="C128" s="39" t="s">
        <v>12</v>
      </c>
      <c r="D128" s="38">
        <v>8</v>
      </c>
      <c r="E128" s="38">
        <v>4975</v>
      </c>
      <c r="F128" s="38">
        <v>39800</v>
      </c>
      <c r="G128" s="38">
        <v>0</v>
      </c>
      <c r="H128" s="38">
        <v>39800</v>
      </c>
      <c r="I128" s="39" t="s">
        <v>153</v>
      </c>
      <c r="J128" s="39" t="s">
        <v>159</v>
      </c>
      <c r="K128" s="35"/>
    </row>
    <row r="129" spans="1:11" ht="20.100000000000001" customHeight="1" x14ac:dyDescent="0.35">
      <c r="A129" s="35" t="s">
        <v>403</v>
      </c>
      <c r="B129" s="44" t="s">
        <v>43</v>
      </c>
      <c r="C129" s="39" t="s">
        <v>12</v>
      </c>
      <c r="D129" s="38">
        <v>54600</v>
      </c>
      <c r="E129" s="38">
        <v>2577</v>
      </c>
      <c r="F129" s="38">
        <v>140719091</v>
      </c>
      <c r="G129" s="38">
        <v>14071909</v>
      </c>
      <c r="H129" s="38">
        <v>154791000</v>
      </c>
      <c r="I129" s="39" t="s">
        <v>89</v>
      </c>
      <c r="J129" s="39" t="s">
        <v>110</v>
      </c>
      <c r="K129" s="35" t="s">
        <v>181</v>
      </c>
    </row>
    <row r="130" spans="1:11" ht="20.100000000000001" customHeight="1" x14ac:dyDescent="0.35">
      <c r="A130" s="35" t="s">
        <v>404</v>
      </c>
      <c r="B130" s="44" t="s">
        <v>43</v>
      </c>
      <c r="C130" s="39" t="s">
        <v>12</v>
      </c>
      <c r="D130" s="38">
        <v>11400</v>
      </c>
      <c r="E130" s="38">
        <v>2577</v>
      </c>
      <c r="F130" s="38">
        <v>29380909</v>
      </c>
      <c r="G130" s="38">
        <v>2938091</v>
      </c>
      <c r="H130" s="38">
        <v>32319000</v>
      </c>
      <c r="I130" s="39" t="s">
        <v>89</v>
      </c>
      <c r="J130" s="39" t="s">
        <v>182</v>
      </c>
      <c r="K130" s="35" t="s">
        <v>181</v>
      </c>
    </row>
    <row r="131" spans="1:11" ht="20.100000000000001" customHeight="1" x14ac:dyDescent="0.35">
      <c r="A131" s="35" t="s">
        <v>405</v>
      </c>
      <c r="B131" s="44" t="s">
        <v>43</v>
      </c>
      <c r="C131" s="39" t="s">
        <v>12</v>
      </c>
      <c r="D131" s="38">
        <v>2400</v>
      </c>
      <c r="E131" s="38">
        <v>2577</v>
      </c>
      <c r="F131" s="38">
        <v>6185455</v>
      </c>
      <c r="G131" s="38">
        <v>618545</v>
      </c>
      <c r="H131" s="38">
        <v>6804000</v>
      </c>
      <c r="I131" s="39" t="s">
        <v>89</v>
      </c>
      <c r="J131" s="39" t="s">
        <v>122</v>
      </c>
      <c r="K131" s="35" t="s">
        <v>179</v>
      </c>
    </row>
    <row r="132" spans="1:11" ht="20.100000000000001" customHeight="1" x14ac:dyDescent="0.35">
      <c r="A132" s="35" t="s">
        <v>406</v>
      </c>
      <c r="B132" s="44" t="s">
        <v>43</v>
      </c>
      <c r="C132" s="39" t="s">
        <v>12</v>
      </c>
      <c r="D132" s="38">
        <v>12720</v>
      </c>
      <c r="E132" s="38">
        <v>2577</v>
      </c>
      <c r="F132" s="38">
        <v>32782909</v>
      </c>
      <c r="G132" s="38">
        <v>3278291</v>
      </c>
      <c r="H132" s="38">
        <v>36061200</v>
      </c>
      <c r="I132" s="39" t="s">
        <v>89</v>
      </c>
      <c r="J132" s="39" t="s">
        <v>137</v>
      </c>
      <c r="K132" s="35" t="s">
        <v>179</v>
      </c>
    </row>
    <row r="133" spans="1:11" ht="20.100000000000001" customHeight="1" x14ac:dyDescent="0.35">
      <c r="A133" s="35" t="s">
        <v>407</v>
      </c>
      <c r="B133" s="44" t="s">
        <v>43</v>
      </c>
      <c r="C133" s="39" t="s">
        <v>12</v>
      </c>
      <c r="D133" s="38">
        <v>752</v>
      </c>
      <c r="E133" s="38">
        <v>4975</v>
      </c>
      <c r="F133" s="38">
        <v>3741200</v>
      </c>
      <c r="G133" s="38">
        <v>0</v>
      </c>
      <c r="H133" s="38">
        <v>3741200</v>
      </c>
      <c r="I133" s="39" t="s">
        <v>183</v>
      </c>
      <c r="J133" s="39" t="s">
        <v>184</v>
      </c>
      <c r="K133" s="35"/>
    </row>
    <row r="134" spans="1:11" ht="20.100000000000001" customHeight="1" x14ac:dyDescent="0.35">
      <c r="A134" s="35" t="s">
        <v>408</v>
      </c>
      <c r="B134" s="36" t="s">
        <v>45</v>
      </c>
      <c r="C134" s="37" t="s">
        <v>15</v>
      </c>
      <c r="D134" s="38">
        <v>481</v>
      </c>
      <c r="E134" s="38">
        <v>3150</v>
      </c>
      <c r="F134" s="38">
        <v>1516725</v>
      </c>
      <c r="G134" s="38">
        <v>151673</v>
      </c>
      <c r="H134" s="38">
        <v>1668398</v>
      </c>
      <c r="I134" s="39" t="s">
        <v>174</v>
      </c>
      <c r="J134" s="39"/>
      <c r="K134" s="35" t="s">
        <v>181</v>
      </c>
    </row>
    <row r="135" spans="1:11" ht="20.100000000000001" customHeight="1" x14ac:dyDescent="0.35">
      <c r="A135" s="35" t="s">
        <v>409</v>
      </c>
      <c r="B135" s="44" t="s">
        <v>43</v>
      </c>
      <c r="C135" s="39" t="s">
        <v>12</v>
      </c>
      <c r="D135" s="38">
        <v>840</v>
      </c>
      <c r="E135" s="38">
        <v>2850</v>
      </c>
      <c r="F135" s="38">
        <v>2394000</v>
      </c>
      <c r="G135" s="38">
        <v>239400</v>
      </c>
      <c r="H135" s="38">
        <v>2633400</v>
      </c>
      <c r="I135" s="39" t="s">
        <v>177</v>
      </c>
      <c r="J135" s="39" t="s">
        <v>185</v>
      </c>
      <c r="K135" s="35" t="s">
        <v>179</v>
      </c>
    </row>
    <row r="136" spans="1:11" ht="20.100000000000001" customHeight="1" x14ac:dyDescent="0.35">
      <c r="A136" s="35" t="s">
        <v>409</v>
      </c>
      <c r="B136" s="44" t="s">
        <v>43</v>
      </c>
      <c r="C136" s="39" t="s">
        <v>12</v>
      </c>
      <c r="D136" s="38">
        <v>900</v>
      </c>
      <c r="E136" s="38">
        <v>2850</v>
      </c>
      <c r="F136" s="38">
        <v>2565000</v>
      </c>
      <c r="G136" s="38">
        <v>256500</v>
      </c>
      <c r="H136" s="38">
        <v>2821500</v>
      </c>
      <c r="I136" s="39" t="s">
        <v>177</v>
      </c>
      <c r="J136" s="39" t="s">
        <v>178</v>
      </c>
      <c r="K136" s="35" t="s">
        <v>179</v>
      </c>
    </row>
    <row r="137" spans="1:11" ht="20.100000000000001" customHeight="1" x14ac:dyDescent="0.35">
      <c r="A137" s="35" t="s">
        <v>409</v>
      </c>
      <c r="B137" s="44" t="s">
        <v>43</v>
      </c>
      <c r="C137" s="39" t="s">
        <v>12</v>
      </c>
      <c r="D137" s="38">
        <v>1200</v>
      </c>
      <c r="E137" s="38">
        <v>2850</v>
      </c>
      <c r="F137" s="38">
        <v>3420000</v>
      </c>
      <c r="G137" s="38">
        <v>342000</v>
      </c>
      <c r="H137" s="38">
        <v>3762000</v>
      </c>
      <c r="I137" s="39" t="s">
        <v>177</v>
      </c>
      <c r="J137" s="39" t="s">
        <v>186</v>
      </c>
      <c r="K137" s="35" t="s">
        <v>179</v>
      </c>
    </row>
    <row r="138" spans="1:11" ht="20.100000000000001" customHeight="1" x14ac:dyDescent="0.35">
      <c r="A138" s="35" t="s">
        <v>409</v>
      </c>
      <c r="B138" s="44" t="s">
        <v>43</v>
      </c>
      <c r="C138" s="39" t="s">
        <v>12</v>
      </c>
      <c r="D138" s="38">
        <v>1200</v>
      </c>
      <c r="E138" s="38">
        <v>2850</v>
      </c>
      <c r="F138" s="38">
        <v>3420000</v>
      </c>
      <c r="G138" s="38">
        <v>342000</v>
      </c>
      <c r="H138" s="38">
        <v>3762000</v>
      </c>
      <c r="I138" s="39" t="s">
        <v>177</v>
      </c>
      <c r="J138" s="39" t="s">
        <v>187</v>
      </c>
      <c r="K138" s="35" t="s">
        <v>179</v>
      </c>
    </row>
    <row r="139" spans="1:11" ht="20.100000000000001" customHeight="1" x14ac:dyDescent="0.35">
      <c r="A139" s="35" t="s">
        <v>409</v>
      </c>
      <c r="B139" s="44" t="s">
        <v>43</v>
      </c>
      <c r="C139" s="39" t="s">
        <v>12</v>
      </c>
      <c r="D139" s="38">
        <v>1200</v>
      </c>
      <c r="E139" s="38">
        <v>2850</v>
      </c>
      <c r="F139" s="38">
        <v>3420000</v>
      </c>
      <c r="G139" s="38">
        <v>342000</v>
      </c>
      <c r="H139" s="38">
        <v>3762000</v>
      </c>
      <c r="I139" s="39" t="s">
        <v>177</v>
      </c>
      <c r="J139" s="39" t="s">
        <v>188</v>
      </c>
      <c r="K139" s="35" t="s">
        <v>179</v>
      </c>
    </row>
    <row r="140" spans="1:11" ht="20.100000000000001" customHeight="1" x14ac:dyDescent="0.35">
      <c r="A140" s="35" t="s">
        <v>409</v>
      </c>
      <c r="B140" s="44" t="s">
        <v>43</v>
      </c>
      <c r="C140" s="39" t="s">
        <v>12</v>
      </c>
      <c r="D140" s="38">
        <v>500</v>
      </c>
      <c r="E140" s="38">
        <v>2850</v>
      </c>
      <c r="F140" s="38">
        <v>1425000</v>
      </c>
      <c r="G140" s="38">
        <v>142500</v>
      </c>
      <c r="H140" s="38">
        <v>1567500</v>
      </c>
      <c r="I140" s="39" t="s">
        <v>177</v>
      </c>
      <c r="J140" s="39" t="s">
        <v>189</v>
      </c>
      <c r="K140" s="35" t="s">
        <v>179</v>
      </c>
    </row>
    <row r="141" spans="1:11" ht="20.100000000000001" customHeight="1" x14ac:dyDescent="0.35">
      <c r="A141" s="35" t="s">
        <v>409</v>
      </c>
      <c r="B141" s="44" t="s">
        <v>43</v>
      </c>
      <c r="C141" s="39" t="s">
        <v>12</v>
      </c>
      <c r="D141" s="38">
        <v>600</v>
      </c>
      <c r="E141" s="38">
        <v>2850</v>
      </c>
      <c r="F141" s="38">
        <v>1710000</v>
      </c>
      <c r="G141" s="38">
        <v>171000</v>
      </c>
      <c r="H141" s="38">
        <v>1881000</v>
      </c>
      <c r="I141" s="39" t="s">
        <v>177</v>
      </c>
      <c r="J141" s="39" t="s">
        <v>190</v>
      </c>
      <c r="K141" s="35" t="s">
        <v>179</v>
      </c>
    </row>
    <row r="142" spans="1:11" ht="20.100000000000001" customHeight="1" x14ac:dyDescent="0.35">
      <c r="A142" s="35" t="s">
        <v>409</v>
      </c>
      <c r="B142" s="44" t="s">
        <v>43</v>
      </c>
      <c r="C142" s="39" t="s">
        <v>12</v>
      </c>
      <c r="D142" s="38">
        <v>1080</v>
      </c>
      <c r="E142" s="38">
        <v>2850</v>
      </c>
      <c r="F142" s="38">
        <v>3078000</v>
      </c>
      <c r="G142" s="38">
        <v>307800</v>
      </c>
      <c r="H142" s="38">
        <v>3385800</v>
      </c>
      <c r="I142" s="39" t="s">
        <v>177</v>
      </c>
      <c r="J142" s="39" t="s">
        <v>191</v>
      </c>
      <c r="K142" s="35" t="s">
        <v>179</v>
      </c>
    </row>
    <row r="143" spans="1:11" ht="20.100000000000001" customHeight="1" x14ac:dyDescent="0.35">
      <c r="A143" s="35" t="s">
        <v>409</v>
      </c>
      <c r="B143" s="44" t="s">
        <v>43</v>
      </c>
      <c r="C143" s="39" t="s">
        <v>12</v>
      </c>
      <c r="D143" s="38">
        <v>1000</v>
      </c>
      <c r="E143" s="38">
        <v>2850</v>
      </c>
      <c r="F143" s="38">
        <v>2850000</v>
      </c>
      <c r="G143" s="38">
        <v>285000</v>
      </c>
      <c r="H143" s="38">
        <v>3135000</v>
      </c>
      <c r="I143" s="39" t="s">
        <v>177</v>
      </c>
      <c r="J143" s="39" t="s">
        <v>192</v>
      </c>
      <c r="K143" s="35" t="s">
        <v>179</v>
      </c>
    </row>
    <row r="144" spans="1:11" ht="20.100000000000001" customHeight="1" x14ac:dyDescent="0.35">
      <c r="A144" s="35" t="s">
        <v>410</v>
      </c>
      <c r="B144" s="44" t="s">
        <v>43</v>
      </c>
      <c r="C144" s="39" t="s">
        <v>12</v>
      </c>
      <c r="D144" s="38">
        <v>200</v>
      </c>
      <c r="E144" s="38">
        <v>2850</v>
      </c>
      <c r="F144" s="38">
        <v>570000</v>
      </c>
      <c r="G144" s="38">
        <v>57000</v>
      </c>
      <c r="H144" s="38">
        <v>627000</v>
      </c>
      <c r="I144" s="39" t="s">
        <v>177</v>
      </c>
      <c r="J144" s="39" t="s">
        <v>193</v>
      </c>
      <c r="K144" s="35" t="s">
        <v>179</v>
      </c>
    </row>
    <row r="145" spans="1:11" ht="20.100000000000001" customHeight="1" x14ac:dyDescent="0.35">
      <c r="A145" s="35" t="s">
        <v>410</v>
      </c>
      <c r="B145" s="44" t="s">
        <v>43</v>
      </c>
      <c r="C145" s="39" t="s">
        <v>12</v>
      </c>
      <c r="D145" s="38">
        <v>492</v>
      </c>
      <c r="E145" s="38">
        <v>2850</v>
      </c>
      <c r="F145" s="38">
        <v>1402200</v>
      </c>
      <c r="G145" s="38">
        <v>140220</v>
      </c>
      <c r="H145" s="38">
        <v>1542420</v>
      </c>
      <c r="I145" s="39" t="s">
        <v>177</v>
      </c>
      <c r="J145" s="39" t="s">
        <v>194</v>
      </c>
      <c r="K145" s="35" t="s">
        <v>179</v>
      </c>
    </row>
    <row r="146" spans="1:11" ht="20.100000000000001" customHeight="1" x14ac:dyDescent="0.35">
      <c r="A146" s="35" t="s">
        <v>410</v>
      </c>
      <c r="B146" s="44" t="s">
        <v>43</v>
      </c>
      <c r="C146" s="39" t="s">
        <v>12</v>
      </c>
      <c r="D146" s="38">
        <v>144</v>
      </c>
      <c r="E146" s="38">
        <v>2850</v>
      </c>
      <c r="F146" s="38">
        <v>410400</v>
      </c>
      <c r="G146" s="38">
        <v>41040</v>
      </c>
      <c r="H146" s="38">
        <v>451440</v>
      </c>
      <c r="I146" s="39" t="s">
        <v>177</v>
      </c>
      <c r="J146" s="39" t="s">
        <v>195</v>
      </c>
      <c r="K146" s="35" t="s">
        <v>179</v>
      </c>
    </row>
    <row r="147" spans="1:11" ht="20.100000000000001" customHeight="1" x14ac:dyDescent="0.35">
      <c r="A147" s="35" t="s">
        <v>410</v>
      </c>
      <c r="B147" s="44" t="s">
        <v>43</v>
      </c>
      <c r="C147" s="39" t="s">
        <v>12</v>
      </c>
      <c r="D147" s="38">
        <v>600</v>
      </c>
      <c r="E147" s="38">
        <v>2850</v>
      </c>
      <c r="F147" s="38">
        <v>1710000</v>
      </c>
      <c r="G147" s="38">
        <v>171000</v>
      </c>
      <c r="H147" s="38">
        <v>1881000</v>
      </c>
      <c r="I147" s="39" t="s">
        <v>177</v>
      </c>
      <c r="J147" s="39" t="s">
        <v>196</v>
      </c>
      <c r="K147" s="35" t="s">
        <v>179</v>
      </c>
    </row>
    <row r="148" spans="1:11" ht="20.100000000000001" customHeight="1" x14ac:dyDescent="0.35">
      <c r="A148" s="35" t="s">
        <v>410</v>
      </c>
      <c r="B148" s="44" t="s">
        <v>43</v>
      </c>
      <c r="C148" s="39" t="s">
        <v>12</v>
      </c>
      <c r="D148" s="38">
        <v>600</v>
      </c>
      <c r="E148" s="38">
        <v>2850</v>
      </c>
      <c r="F148" s="38">
        <v>1710000</v>
      </c>
      <c r="G148" s="38">
        <v>171000</v>
      </c>
      <c r="H148" s="38">
        <v>1881000</v>
      </c>
      <c r="I148" s="39" t="s">
        <v>177</v>
      </c>
      <c r="J148" s="39" t="s">
        <v>197</v>
      </c>
      <c r="K148" s="35" t="s">
        <v>179</v>
      </c>
    </row>
    <row r="149" spans="1:11" ht="20.100000000000001" customHeight="1" x14ac:dyDescent="0.35">
      <c r="A149" s="35" t="s">
        <v>410</v>
      </c>
      <c r="B149" s="44" t="s">
        <v>43</v>
      </c>
      <c r="C149" s="39" t="s">
        <v>12</v>
      </c>
      <c r="D149" s="38">
        <v>600</v>
      </c>
      <c r="E149" s="38">
        <v>2850</v>
      </c>
      <c r="F149" s="38">
        <v>1710000</v>
      </c>
      <c r="G149" s="38">
        <v>171000</v>
      </c>
      <c r="H149" s="38">
        <v>1881000</v>
      </c>
      <c r="I149" s="39" t="s">
        <v>177</v>
      </c>
      <c r="J149" s="39" t="s">
        <v>198</v>
      </c>
      <c r="K149" s="35" t="s">
        <v>179</v>
      </c>
    </row>
    <row r="150" spans="1:11" ht="20.100000000000001" customHeight="1" x14ac:dyDescent="0.35">
      <c r="A150" s="35" t="s">
        <v>410</v>
      </c>
      <c r="B150" s="44" t="s">
        <v>43</v>
      </c>
      <c r="C150" s="39" t="s">
        <v>12</v>
      </c>
      <c r="D150" s="38">
        <v>600</v>
      </c>
      <c r="E150" s="38">
        <v>2850</v>
      </c>
      <c r="F150" s="38">
        <v>1710000</v>
      </c>
      <c r="G150" s="38">
        <v>171000</v>
      </c>
      <c r="H150" s="38">
        <v>1881000</v>
      </c>
      <c r="I150" s="39" t="s">
        <v>177</v>
      </c>
      <c r="J150" s="39" t="s">
        <v>199</v>
      </c>
      <c r="K150" s="35" t="s">
        <v>179</v>
      </c>
    </row>
    <row r="151" spans="1:11" ht="20.100000000000001" customHeight="1" x14ac:dyDescent="0.35">
      <c r="A151" s="35" t="s">
        <v>411</v>
      </c>
      <c r="B151" s="44" t="s">
        <v>43</v>
      </c>
      <c r="C151" s="39" t="s">
        <v>12</v>
      </c>
      <c r="D151" s="38">
        <v>480</v>
      </c>
      <c r="E151" s="38">
        <v>2577</v>
      </c>
      <c r="F151" s="38">
        <v>1237091</v>
      </c>
      <c r="G151" s="38">
        <v>123709</v>
      </c>
      <c r="H151" s="38">
        <v>1360800</v>
      </c>
      <c r="I151" s="39" t="s">
        <v>89</v>
      </c>
      <c r="J151" s="39" t="s">
        <v>137</v>
      </c>
      <c r="K151" s="35" t="s">
        <v>200</v>
      </c>
    </row>
    <row r="152" spans="1:11" ht="20.100000000000001" customHeight="1" x14ac:dyDescent="0.35">
      <c r="A152" s="35" t="s">
        <v>412</v>
      </c>
      <c r="B152" s="44" t="s">
        <v>43</v>
      </c>
      <c r="C152" s="39" t="s">
        <v>12</v>
      </c>
      <c r="D152" s="38">
        <v>24</v>
      </c>
      <c r="E152" s="38">
        <v>4975</v>
      </c>
      <c r="F152" s="38">
        <v>119400</v>
      </c>
      <c r="G152" s="38">
        <v>0</v>
      </c>
      <c r="H152" s="38">
        <v>119400</v>
      </c>
      <c r="I152" s="39" t="s">
        <v>153</v>
      </c>
      <c r="J152" s="39" t="s">
        <v>155</v>
      </c>
      <c r="K152" s="35"/>
    </row>
    <row r="153" spans="1:11" ht="20.100000000000001" customHeight="1" x14ac:dyDescent="0.35">
      <c r="A153" s="35" t="s">
        <v>413</v>
      </c>
      <c r="B153" s="44" t="s">
        <v>43</v>
      </c>
      <c r="C153" s="39" t="s">
        <v>12</v>
      </c>
      <c r="D153" s="38">
        <v>5280</v>
      </c>
      <c r="E153" s="38">
        <v>2577</v>
      </c>
      <c r="F153" s="38">
        <v>13608000</v>
      </c>
      <c r="G153" s="38">
        <v>1360800</v>
      </c>
      <c r="H153" s="38">
        <v>14968800</v>
      </c>
      <c r="I153" s="39" t="s">
        <v>89</v>
      </c>
      <c r="J153" s="39" t="s">
        <v>122</v>
      </c>
      <c r="K153" s="35" t="s">
        <v>201</v>
      </c>
    </row>
    <row r="154" spans="1:11" ht="20.100000000000001" customHeight="1" x14ac:dyDescent="0.35">
      <c r="A154" s="35" t="s">
        <v>414</v>
      </c>
      <c r="B154" s="44" t="s">
        <v>43</v>
      </c>
      <c r="C154" s="39" t="s">
        <v>12</v>
      </c>
      <c r="D154" s="38">
        <v>9040</v>
      </c>
      <c r="E154" s="38">
        <v>2577</v>
      </c>
      <c r="F154" s="38">
        <v>23298545</v>
      </c>
      <c r="G154" s="38">
        <v>2329855</v>
      </c>
      <c r="H154" s="38">
        <v>25628400</v>
      </c>
      <c r="I154" s="39" t="s">
        <v>89</v>
      </c>
      <c r="J154" s="39" t="s">
        <v>144</v>
      </c>
      <c r="K154" s="35" t="s">
        <v>200</v>
      </c>
    </row>
    <row r="155" spans="1:11" ht="20.100000000000001" customHeight="1" x14ac:dyDescent="0.35">
      <c r="A155" s="35" t="s">
        <v>415</v>
      </c>
      <c r="B155" s="44" t="s">
        <v>43</v>
      </c>
      <c r="C155" s="39" t="s">
        <v>12</v>
      </c>
      <c r="D155" s="38">
        <v>13920</v>
      </c>
      <c r="E155" s="38">
        <v>2577</v>
      </c>
      <c r="F155" s="38">
        <v>35875637</v>
      </c>
      <c r="G155" s="38">
        <v>3587563</v>
      </c>
      <c r="H155" s="38">
        <v>39463200</v>
      </c>
      <c r="I155" s="39" t="s">
        <v>89</v>
      </c>
      <c r="J155" s="39" t="s">
        <v>137</v>
      </c>
      <c r="K155" s="35" t="s">
        <v>200</v>
      </c>
    </row>
    <row r="156" spans="1:11" ht="20.100000000000001" customHeight="1" x14ac:dyDescent="0.35">
      <c r="A156" s="35" t="s">
        <v>416</v>
      </c>
      <c r="B156" s="44" t="s">
        <v>43</v>
      </c>
      <c r="C156" s="39" t="s">
        <v>12</v>
      </c>
      <c r="D156" s="38">
        <v>16</v>
      </c>
      <c r="E156" s="38">
        <v>4975</v>
      </c>
      <c r="F156" s="38">
        <v>79600</v>
      </c>
      <c r="G156" s="38">
        <v>0</v>
      </c>
      <c r="H156" s="38">
        <v>79600</v>
      </c>
      <c r="I156" s="39" t="s">
        <v>153</v>
      </c>
      <c r="J156" s="39" t="s">
        <v>202</v>
      </c>
      <c r="K156" s="35"/>
    </row>
    <row r="157" spans="1:11" ht="20.100000000000001" customHeight="1" x14ac:dyDescent="0.35">
      <c r="A157" s="35" t="s">
        <v>417</v>
      </c>
      <c r="B157" s="44" t="s">
        <v>43</v>
      </c>
      <c r="C157" s="39" t="s">
        <v>12</v>
      </c>
      <c r="D157" s="38">
        <v>2960</v>
      </c>
      <c r="E157" s="38">
        <v>2577</v>
      </c>
      <c r="F157" s="38">
        <v>7628728</v>
      </c>
      <c r="G157" s="38">
        <v>762872</v>
      </c>
      <c r="H157" s="38">
        <v>8391600</v>
      </c>
      <c r="I157" s="39" t="s">
        <v>89</v>
      </c>
      <c r="J157" s="39" t="s">
        <v>144</v>
      </c>
      <c r="K157" s="35" t="s">
        <v>201</v>
      </c>
    </row>
    <row r="158" spans="1:11" ht="20.100000000000001" customHeight="1" x14ac:dyDescent="0.35">
      <c r="A158" s="35" t="s">
        <v>418</v>
      </c>
      <c r="B158" s="44" t="s">
        <v>43</v>
      </c>
      <c r="C158" s="39" t="s">
        <v>12</v>
      </c>
      <c r="D158" s="38">
        <v>24000</v>
      </c>
      <c r="E158" s="38">
        <v>2577</v>
      </c>
      <c r="F158" s="38">
        <v>61854546</v>
      </c>
      <c r="G158" s="38">
        <v>6185454</v>
      </c>
      <c r="H158" s="38">
        <v>68040000</v>
      </c>
      <c r="I158" s="39" t="s">
        <v>89</v>
      </c>
      <c r="J158" s="39" t="s">
        <v>110</v>
      </c>
      <c r="K158" s="35" t="s">
        <v>201</v>
      </c>
    </row>
    <row r="159" spans="1:11" ht="20.100000000000001" customHeight="1" x14ac:dyDescent="0.35">
      <c r="A159" s="35" t="s">
        <v>419</v>
      </c>
      <c r="B159" s="44" t="s">
        <v>43</v>
      </c>
      <c r="C159" s="39" t="s">
        <v>12</v>
      </c>
      <c r="D159" s="38">
        <v>24</v>
      </c>
      <c r="E159" s="38">
        <v>4975</v>
      </c>
      <c r="F159" s="38">
        <v>119400</v>
      </c>
      <c r="G159" s="38">
        <v>0</v>
      </c>
      <c r="H159" s="38">
        <v>119400</v>
      </c>
      <c r="I159" s="39" t="s">
        <v>153</v>
      </c>
      <c r="J159" s="39" t="s">
        <v>155</v>
      </c>
      <c r="K159" s="35"/>
    </row>
    <row r="160" spans="1:11" ht="20.100000000000001" customHeight="1" x14ac:dyDescent="0.35">
      <c r="A160" s="35" t="s">
        <v>420</v>
      </c>
      <c r="B160" s="44" t="s">
        <v>43</v>
      </c>
      <c r="C160" s="39" t="s">
        <v>12</v>
      </c>
      <c r="D160" s="38">
        <v>944</v>
      </c>
      <c r="E160" s="38">
        <v>4975</v>
      </c>
      <c r="F160" s="38">
        <v>4696400</v>
      </c>
      <c r="G160" s="38">
        <v>0</v>
      </c>
      <c r="H160" s="38">
        <v>4696400</v>
      </c>
      <c r="I160" s="39" t="s">
        <v>183</v>
      </c>
      <c r="J160" s="39" t="s">
        <v>203</v>
      </c>
      <c r="K160" s="35"/>
    </row>
    <row r="161" spans="1:11" ht="20.100000000000001" customHeight="1" x14ac:dyDescent="0.35">
      <c r="A161" s="35" t="s">
        <v>421</v>
      </c>
      <c r="B161" s="44" t="s">
        <v>43</v>
      </c>
      <c r="C161" s="39" t="s">
        <v>12</v>
      </c>
      <c r="D161" s="38">
        <v>16</v>
      </c>
      <c r="E161" s="38">
        <v>4975</v>
      </c>
      <c r="F161" s="38">
        <v>79600</v>
      </c>
      <c r="G161" s="38">
        <v>0</v>
      </c>
      <c r="H161" s="38">
        <v>79600</v>
      </c>
      <c r="I161" s="39" t="s">
        <v>153</v>
      </c>
      <c r="J161" s="39" t="s">
        <v>202</v>
      </c>
      <c r="K161" s="35"/>
    </row>
    <row r="162" spans="1:11" ht="20.100000000000001" customHeight="1" x14ac:dyDescent="0.35">
      <c r="A162" s="35" t="s">
        <v>422</v>
      </c>
      <c r="B162" s="44" t="s">
        <v>43</v>
      </c>
      <c r="C162" s="39" t="s">
        <v>12</v>
      </c>
      <c r="D162" s="38">
        <v>24</v>
      </c>
      <c r="E162" s="38">
        <v>4975</v>
      </c>
      <c r="F162" s="38">
        <v>119400</v>
      </c>
      <c r="G162" s="38">
        <v>0</v>
      </c>
      <c r="H162" s="38">
        <v>119400</v>
      </c>
      <c r="I162" s="39" t="s">
        <v>183</v>
      </c>
      <c r="J162" s="39" t="s">
        <v>155</v>
      </c>
      <c r="K162" s="35"/>
    </row>
    <row r="163" spans="1:11" ht="20.100000000000001" customHeight="1" x14ac:dyDescent="0.35">
      <c r="A163" s="35" t="s">
        <v>423</v>
      </c>
      <c r="B163" s="44" t="s">
        <v>43</v>
      </c>
      <c r="C163" s="39" t="s">
        <v>12</v>
      </c>
      <c r="D163" s="38">
        <v>8</v>
      </c>
      <c r="E163" s="38">
        <v>4975</v>
      </c>
      <c r="F163" s="38">
        <v>39800</v>
      </c>
      <c r="G163" s="38">
        <v>0</v>
      </c>
      <c r="H163" s="38">
        <v>39800</v>
      </c>
      <c r="I163" s="39" t="s">
        <v>153</v>
      </c>
      <c r="J163" s="39" t="s">
        <v>159</v>
      </c>
      <c r="K163" s="35"/>
    </row>
    <row r="164" spans="1:11" ht="20.100000000000001" customHeight="1" x14ac:dyDescent="0.35">
      <c r="A164" s="35" t="s">
        <v>424</v>
      </c>
      <c r="B164" s="44" t="s">
        <v>43</v>
      </c>
      <c r="C164" s="39" t="s">
        <v>12</v>
      </c>
      <c r="D164" s="38">
        <v>424</v>
      </c>
      <c r="E164" s="38">
        <v>4975</v>
      </c>
      <c r="F164" s="38">
        <v>2109400</v>
      </c>
      <c r="G164" s="38">
        <v>0</v>
      </c>
      <c r="H164" s="38">
        <v>2109400</v>
      </c>
      <c r="I164" s="39" t="s">
        <v>183</v>
      </c>
      <c r="J164" s="39" t="s">
        <v>204</v>
      </c>
      <c r="K164" s="35"/>
    </row>
    <row r="165" spans="1:11" ht="20.100000000000001" customHeight="1" x14ac:dyDescent="0.35">
      <c r="A165" s="35" t="s">
        <v>69</v>
      </c>
      <c r="B165" s="36" t="s">
        <v>45</v>
      </c>
      <c r="C165" s="37" t="s">
        <v>15</v>
      </c>
      <c r="D165" s="38">
        <v>7680</v>
      </c>
      <c r="E165" s="38">
        <v>2405</v>
      </c>
      <c r="F165" s="38">
        <v>18473891</v>
      </c>
      <c r="G165" s="38">
        <v>1847389</v>
      </c>
      <c r="H165" s="38">
        <v>20321280</v>
      </c>
      <c r="I165" s="39" t="s">
        <v>89</v>
      </c>
      <c r="J165" s="39" t="s">
        <v>151</v>
      </c>
      <c r="K165" s="35" t="s">
        <v>205</v>
      </c>
    </row>
    <row r="166" spans="1:11" ht="20.100000000000001" customHeight="1" x14ac:dyDescent="0.35">
      <c r="A166" s="35" t="s">
        <v>425</v>
      </c>
      <c r="B166" s="36" t="s">
        <v>45</v>
      </c>
      <c r="C166" s="37" t="s">
        <v>15</v>
      </c>
      <c r="D166" s="38">
        <v>360</v>
      </c>
      <c r="E166" s="38">
        <v>2405</v>
      </c>
      <c r="F166" s="38">
        <v>865964</v>
      </c>
      <c r="G166" s="38">
        <v>86596</v>
      </c>
      <c r="H166" s="38">
        <v>952560</v>
      </c>
      <c r="I166" s="39" t="s">
        <v>89</v>
      </c>
      <c r="J166" s="39" t="s">
        <v>137</v>
      </c>
      <c r="K166" s="35" t="s">
        <v>206</v>
      </c>
    </row>
    <row r="167" spans="1:11" ht="20.100000000000001" customHeight="1" x14ac:dyDescent="0.35">
      <c r="A167" s="35" t="s">
        <v>426</v>
      </c>
      <c r="B167" s="36" t="s">
        <v>45</v>
      </c>
      <c r="C167" s="37" t="s">
        <v>15</v>
      </c>
      <c r="D167" s="38">
        <v>240</v>
      </c>
      <c r="E167" s="38">
        <v>2405</v>
      </c>
      <c r="F167" s="38">
        <v>577310</v>
      </c>
      <c r="G167" s="38">
        <v>57730</v>
      </c>
      <c r="H167" s="38">
        <v>635040</v>
      </c>
      <c r="I167" s="39" t="s">
        <v>89</v>
      </c>
      <c r="J167" s="39" t="s">
        <v>122</v>
      </c>
      <c r="K167" s="35" t="s">
        <v>207</v>
      </c>
    </row>
    <row r="168" spans="1:11" ht="20.100000000000001" customHeight="1" x14ac:dyDescent="0.35">
      <c r="A168" s="35" t="s">
        <v>427</v>
      </c>
      <c r="B168" s="44" t="s">
        <v>43</v>
      </c>
      <c r="C168" s="39" t="s">
        <v>12</v>
      </c>
      <c r="D168" s="38">
        <v>21000</v>
      </c>
      <c r="E168" s="38">
        <v>2577</v>
      </c>
      <c r="F168" s="38">
        <v>54122727</v>
      </c>
      <c r="G168" s="38">
        <v>5412273</v>
      </c>
      <c r="H168" s="38">
        <v>59535000</v>
      </c>
      <c r="I168" s="39" t="s">
        <v>89</v>
      </c>
      <c r="J168" s="39" t="s">
        <v>147</v>
      </c>
      <c r="K168" s="35" t="s">
        <v>205</v>
      </c>
    </row>
    <row r="169" spans="1:11" ht="20.100000000000001" customHeight="1" x14ac:dyDescent="0.35">
      <c r="A169" s="35" t="s">
        <v>428</v>
      </c>
      <c r="B169" s="44" t="s">
        <v>43</v>
      </c>
      <c r="C169" s="39" t="s">
        <v>12</v>
      </c>
      <c r="D169" s="38">
        <v>4320</v>
      </c>
      <c r="E169" s="38">
        <v>2577</v>
      </c>
      <c r="F169" s="38">
        <v>11133818</v>
      </c>
      <c r="G169" s="38">
        <v>1113382</v>
      </c>
      <c r="H169" s="38">
        <v>12247200</v>
      </c>
      <c r="I169" s="39" t="s">
        <v>89</v>
      </c>
      <c r="J169" s="39" t="s">
        <v>208</v>
      </c>
      <c r="K169" s="35" t="s">
        <v>205</v>
      </c>
    </row>
    <row r="170" spans="1:11" ht="20.100000000000001" customHeight="1" x14ac:dyDescent="0.35">
      <c r="A170" s="35" t="s">
        <v>429</v>
      </c>
      <c r="B170" s="44" t="s">
        <v>43</v>
      </c>
      <c r="C170" s="39" t="s">
        <v>12</v>
      </c>
      <c r="D170" s="38">
        <v>9600</v>
      </c>
      <c r="E170" s="38">
        <v>2577</v>
      </c>
      <c r="F170" s="38">
        <v>24741818</v>
      </c>
      <c r="G170" s="38">
        <v>2474182</v>
      </c>
      <c r="H170" s="38">
        <v>27216000</v>
      </c>
      <c r="I170" s="39" t="s">
        <v>89</v>
      </c>
      <c r="J170" s="39" t="s">
        <v>208</v>
      </c>
      <c r="K170" s="35" t="s">
        <v>205</v>
      </c>
    </row>
    <row r="171" spans="1:11" ht="20.100000000000001" customHeight="1" x14ac:dyDescent="0.35">
      <c r="A171" s="35" t="s">
        <v>430</v>
      </c>
      <c r="B171" s="44" t="s">
        <v>43</v>
      </c>
      <c r="C171" s="39" t="s">
        <v>12</v>
      </c>
      <c r="D171" s="38">
        <v>8</v>
      </c>
      <c r="E171" s="38">
        <v>4975</v>
      </c>
      <c r="F171" s="38">
        <v>39800</v>
      </c>
      <c r="G171" s="38">
        <v>0</v>
      </c>
      <c r="H171" s="38">
        <v>39800</v>
      </c>
      <c r="I171" s="39" t="s">
        <v>153</v>
      </c>
      <c r="J171" s="39" t="s">
        <v>159</v>
      </c>
      <c r="K171" s="35"/>
    </row>
    <row r="172" spans="1:11" ht="20.100000000000001" customHeight="1" x14ac:dyDescent="0.35">
      <c r="A172" s="35" t="s">
        <v>431</v>
      </c>
      <c r="B172" s="44" t="s">
        <v>43</v>
      </c>
      <c r="C172" s="39" t="s">
        <v>12</v>
      </c>
      <c r="D172" s="38">
        <v>8</v>
      </c>
      <c r="E172" s="38">
        <v>4975</v>
      </c>
      <c r="F172" s="38">
        <v>39800</v>
      </c>
      <c r="G172" s="38">
        <v>0</v>
      </c>
      <c r="H172" s="38">
        <v>39800</v>
      </c>
      <c r="I172" s="39" t="s">
        <v>183</v>
      </c>
      <c r="J172" s="39" t="s">
        <v>159</v>
      </c>
      <c r="K172" s="35"/>
    </row>
    <row r="173" spans="1:11" ht="20.100000000000001" customHeight="1" x14ac:dyDescent="0.35">
      <c r="A173" s="35" t="s">
        <v>432</v>
      </c>
      <c r="B173" s="36" t="s">
        <v>45</v>
      </c>
      <c r="C173" s="37" t="s">
        <v>15</v>
      </c>
      <c r="D173" s="38">
        <v>1920</v>
      </c>
      <c r="E173" s="38">
        <v>2405</v>
      </c>
      <c r="F173" s="38">
        <v>4618473</v>
      </c>
      <c r="G173" s="38">
        <v>461847</v>
      </c>
      <c r="H173" s="38">
        <v>5080320</v>
      </c>
      <c r="I173" s="39" t="s">
        <v>89</v>
      </c>
      <c r="J173" s="39" t="s">
        <v>151</v>
      </c>
      <c r="K173" s="35" t="s">
        <v>207</v>
      </c>
    </row>
    <row r="174" spans="1:11" ht="20.100000000000001" customHeight="1" x14ac:dyDescent="0.35">
      <c r="A174" s="35" t="s">
        <v>433</v>
      </c>
      <c r="B174" s="44" t="s">
        <v>43</v>
      </c>
      <c r="C174" s="39" t="s">
        <v>12</v>
      </c>
      <c r="D174" s="38">
        <v>16</v>
      </c>
      <c r="E174" s="38">
        <v>4975</v>
      </c>
      <c r="F174" s="38">
        <v>79600</v>
      </c>
      <c r="G174" s="38">
        <v>0</v>
      </c>
      <c r="H174" s="38">
        <v>79600</v>
      </c>
      <c r="I174" s="39" t="s">
        <v>153</v>
      </c>
      <c r="J174" s="39" t="s">
        <v>202</v>
      </c>
      <c r="K174" s="35"/>
    </row>
    <row r="175" spans="1:11" ht="20.100000000000001" customHeight="1" x14ac:dyDescent="0.35">
      <c r="A175" s="35" t="s">
        <v>434</v>
      </c>
      <c r="B175" s="44" t="s">
        <v>43</v>
      </c>
      <c r="C175" s="39" t="s">
        <v>12</v>
      </c>
      <c r="D175" s="38">
        <v>24</v>
      </c>
      <c r="E175" s="38">
        <v>4975</v>
      </c>
      <c r="F175" s="38">
        <v>119400</v>
      </c>
      <c r="G175" s="38">
        <v>0</v>
      </c>
      <c r="H175" s="38">
        <v>119400</v>
      </c>
      <c r="I175" s="39" t="s">
        <v>183</v>
      </c>
      <c r="J175" s="39" t="s">
        <v>155</v>
      </c>
      <c r="K175" s="35"/>
    </row>
    <row r="176" spans="1:11" ht="20.100000000000001" customHeight="1" x14ac:dyDescent="0.35">
      <c r="A176" s="35" t="s">
        <v>435</v>
      </c>
      <c r="B176" s="44" t="s">
        <v>43</v>
      </c>
      <c r="C176" s="39" t="s">
        <v>12</v>
      </c>
      <c r="D176" s="38">
        <v>33600</v>
      </c>
      <c r="E176" s="38">
        <v>2577</v>
      </c>
      <c r="F176" s="38">
        <v>86596364</v>
      </c>
      <c r="G176" s="38">
        <v>8659636</v>
      </c>
      <c r="H176" s="38">
        <v>95256000</v>
      </c>
      <c r="I176" s="39" t="s">
        <v>89</v>
      </c>
      <c r="J176" s="39" t="s">
        <v>145</v>
      </c>
      <c r="K176" s="35" t="s">
        <v>206</v>
      </c>
    </row>
    <row r="177" spans="1:11" ht="20.100000000000001" customHeight="1" x14ac:dyDescent="0.35">
      <c r="A177" s="35" t="s">
        <v>436</v>
      </c>
      <c r="B177" s="36" t="s">
        <v>45</v>
      </c>
      <c r="C177" s="37" t="s">
        <v>15</v>
      </c>
      <c r="D177" s="38">
        <v>11178</v>
      </c>
      <c r="E177" s="38">
        <v>2405</v>
      </c>
      <c r="F177" s="38">
        <v>26888171</v>
      </c>
      <c r="G177" s="38">
        <v>2688817</v>
      </c>
      <c r="H177" s="38">
        <v>29576988</v>
      </c>
      <c r="I177" s="39" t="s">
        <v>89</v>
      </c>
      <c r="J177" s="39" t="s">
        <v>110</v>
      </c>
      <c r="K177" s="35" t="s">
        <v>206</v>
      </c>
    </row>
    <row r="178" spans="1:11" ht="20.100000000000001" customHeight="1" x14ac:dyDescent="0.35">
      <c r="A178" s="35" t="s">
        <v>437</v>
      </c>
      <c r="B178" s="44" t="s">
        <v>43</v>
      </c>
      <c r="C178" s="39" t="s">
        <v>12</v>
      </c>
      <c r="D178" s="38">
        <v>24</v>
      </c>
      <c r="E178" s="38">
        <v>4975</v>
      </c>
      <c r="F178" s="38">
        <v>119400</v>
      </c>
      <c r="G178" s="38">
        <v>0</v>
      </c>
      <c r="H178" s="38">
        <v>119400</v>
      </c>
      <c r="I178" s="39" t="s">
        <v>153</v>
      </c>
      <c r="J178" s="39" t="s">
        <v>155</v>
      </c>
      <c r="K178" s="35"/>
    </row>
    <row r="179" spans="1:11" ht="20.100000000000001" customHeight="1" x14ac:dyDescent="0.35">
      <c r="A179" s="35" t="s">
        <v>438</v>
      </c>
      <c r="B179" s="44" t="s">
        <v>43</v>
      </c>
      <c r="C179" s="39" t="s">
        <v>12</v>
      </c>
      <c r="D179" s="38">
        <v>2</v>
      </c>
      <c r="E179" s="38">
        <v>0</v>
      </c>
      <c r="F179" s="38">
        <v>0</v>
      </c>
      <c r="G179" s="38">
        <v>0</v>
      </c>
      <c r="H179" s="38">
        <v>0</v>
      </c>
      <c r="I179" s="39" t="s">
        <v>209</v>
      </c>
      <c r="J179" s="39" t="s">
        <v>113</v>
      </c>
      <c r="K179" s="35"/>
    </row>
    <row r="180" spans="1:11" ht="20.100000000000001" customHeight="1" x14ac:dyDescent="0.35">
      <c r="A180" s="35" t="s">
        <v>439</v>
      </c>
      <c r="B180" s="36" t="s">
        <v>45</v>
      </c>
      <c r="C180" s="37" t="s">
        <v>15</v>
      </c>
      <c r="D180" s="38">
        <v>477</v>
      </c>
      <c r="E180" s="38">
        <v>2405</v>
      </c>
      <c r="F180" s="38">
        <v>1147402</v>
      </c>
      <c r="G180" s="38">
        <v>114740</v>
      </c>
      <c r="H180" s="38">
        <v>1262142</v>
      </c>
      <c r="I180" s="39" t="s">
        <v>89</v>
      </c>
      <c r="J180" s="39" t="s">
        <v>210</v>
      </c>
      <c r="K180" s="35" t="s">
        <v>211</v>
      </c>
    </row>
    <row r="181" spans="1:11" ht="20.100000000000001" customHeight="1" x14ac:dyDescent="0.35">
      <c r="A181" s="35" t="s">
        <v>440</v>
      </c>
      <c r="B181" s="44" t="s">
        <v>43</v>
      </c>
      <c r="C181" s="39" t="s">
        <v>12</v>
      </c>
      <c r="D181" s="38">
        <v>444</v>
      </c>
      <c r="E181" s="38">
        <v>2577</v>
      </c>
      <c r="F181" s="38">
        <v>1144309</v>
      </c>
      <c r="G181" s="38">
        <v>114431</v>
      </c>
      <c r="H181" s="38">
        <v>1258740</v>
      </c>
      <c r="I181" s="39" t="s">
        <v>89</v>
      </c>
      <c r="J181" s="39" t="s">
        <v>210</v>
      </c>
      <c r="K181" s="35" t="s">
        <v>211</v>
      </c>
    </row>
    <row r="182" spans="1:11" ht="20.100000000000001" customHeight="1" x14ac:dyDescent="0.35">
      <c r="A182" s="35" t="s">
        <v>441</v>
      </c>
      <c r="B182" s="44" t="s">
        <v>43</v>
      </c>
      <c r="C182" s="39" t="s">
        <v>12</v>
      </c>
      <c r="D182" s="38">
        <v>2100</v>
      </c>
      <c r="E182" s="38">
        <v>2577</v>
      </c>
      <c r="F182" s="38">
        <v>5412273</v>
      </c>
      <c r="G182" s="38">
        <v>541227</v>
      </c>
      <c r="H182" s="38">
        <v>5953500</v>
      </c>
      <c r="I182" s="39" t="s">
        <v>89</v>
      </c>
      <c r="J182" s="39" t="s">
        <v>212</v>
      </c>
      <c r="K182" s="35" t="s">
        <v>213</v>
      </c>
    </row>
    <row r="183" spans="1:11" ht="20.100000000000001" customHeight="1" x14ac:dyDescent="0.35">
      <c r="A183" s="35" t="s">
        <v>442</v>
      </c>
      <c r="B183" s="44" t="s">
        <v>43</v>
      </c>
      <c r="C183" s="39" t="s">
        <v>12</v>
      </c>
      <c r="D183" s="38">
        <v>13200</v>
      </c>
      <c r="E183" s="38">
        <v>2577</v>
      </c>
      <c r="F183" s="38">
        <v>34020000</v>
      </c>
      <c r="G183" s="38">
        <v>3402000</v>
      </c>
      <c r="H183" s="38">
        <v>37422000</v>
      </c>
      <c r="I183" s="39" t="s">
        <v>89</v>
      </c>
      <c r="J183" s="39" t="s">
        <v>212</v>
      </c>
      <c r="K183" s="35" t="s">
        <v>213</v>
      </c>
    </row>
    <row r="184" spans="1:11" ht="20.100000000000001" customHeight="1" x14ac:dyDescent="0.35">
      <c r="A184" s="35" t="s">
        <v>443</v>
      </c>
      <c r="B184" s="44" t="s">
        <v>43</v>
      </c>
      <c r="C184" s="39" t="s">
        <v>12</v>
      </c>
      <c r="D184" s="38">
        <v>60</v>
      </c>
      <c r="E184" s="38">
        <v>2577</v>
      </c>
      <c r="F184" s="38">
        <v>154636</v>
      </c>
      <c r="G184" s="38">
        <v>15464</v>
      </c>
      <c r="H184" s="38">
        <v>170100</v>
      </c>
      <c r="I184" s="39" t="s">
        <v>89</v>
      </c>
      <c r="J184" s="39" t="s">
        <v>214</v>
      </c>
      <c r="K184" s="35" t="s">
        <v>215</v>
      </c>
    </row>
    <row r="185" spans="1:11" ht="20.100000000000001" customHeight="1" x14ac:dyDescent="0.35">
      <c r="A185" s="35" t="s">
        <v>444</v>
      </c>
      <c r="B185" s="44" t="s">
        <v>43</v>
      </c>
      <c r="C185" s="39" t="s">
        <v>12</v>
      </c>
      <c r="D185" s="38">
        <v>190</v>
      </c>
      <c r="E185" s="38">
        <v>2577</v>
      </c>
      <c r="F185" s="38">
        <v>489682</v>
      </c>
      <c r="G185" s="38">
        <v>48968</v>
      </c>
      <c r="H185" s="38">
        <v>538650</v>
      </c>
      <c r="I185" s="39" t="s">
        <v>89</v>
      </c>
      <c r="J185" s="39" t="s">
        <v>214</v>
      </c>
      <c r="K185" s="35" t="s">
        <v>215</v>
      </c>
    </row>
    <row r="186" spans="1:11" ht="20.100000000000001" customHeight="1" x14ac:dyDescent="0.35">
      <c r="A186" s="35" t="s">
        <v>445</v>
      </c>
      <c r="B186" s="44" t="s">
        <v>43</v>
      </c>
      <c r="C186" s="39" t="s">
        <v>12</v>
      </c>
      <c r="D186" s="38">
        <v>110</v>
      </c>
      <c r="E186" s="38">
        <v>2577</v>
      </c>
      <c r="F186" s="38">
        <v>283500</v>
      </c>
      <c r="G186" s="38">
        <v>28350</v>
      </c>
      <c r="H186" s="38">
        <v>311850</v>
      </c>
      <c r="I186" s="39" t="s">
        <v>89</v>
      </c>
      <c r="J186" s="39" t="s">
        <v>214</v>
      </c>
      <c r="K186" s="35" t="s">
        <v>215</v>
      </c>
    </row>
    <row r="187" spans="1:11" ht="20.100000000000001" customHeight="1" x14ac:dyDescent="0.35">
      <c r="A187" s="35" t="s">
        <v>446</v>
      </c>
      <c r="B187" s="44" t="s">
        <v>43</v>
      </c>
      <c r="C187" s="39" t="s">
        <v>12</v>
      </c>
      <c r="D187" s="38">
        <v>8</v>
      </c>
      <c r="E187" s="38">
        <v>4975</v>
      </c>
      <c r="F187" s="38">
        <v>39800</v>
      </c>
      <c r="G187" s="38">
        <v>0</v>
      </c>
      <c r="H187" s="38">
        <v>39800</v>
      </c>
      <c r="I187" s="39" t="s">
        <v>153</v>
      </c>
      <c r="J187" s="39" t="s">
        <v>159</v>
      </c>
      <c r="K187" s="35"/>
    </row>
    <row r="188" spans="1:11" ht="20.100000000000001" customHeight="1" x14ac:dyDescent="0.35">
      <c r="A188" s="35" t="s">
        <v>447</v>
      </c>
      <c r="B188" s="44" t="s">
        <v>43</v>
      </c>
      <c r="C188" s="39" t="s">
        <v>12</v>
      </c>
      <c r="D188" s="38">
        <v>1920</v>
      </c>
      <c r="E188" s="38">
        <v>2577</v>
      </c>
      <c r="F188" s="38">
        <v>4948364</v>
      </c>
      <c r="G188" s="38">
        <v>494836</v>
      </c>
      <c r="H188" s="38">
        <v>5443200</v>
      </c>
      <c r="I188" s="39" t="s">
        <v>89</v>
      </c>
      <c r="J188" s="39" t="s">
        <v>144</v>
      </c>
      <c r="K188" s="35" t="s">
        <v>215</v>
      </c>
    </row>
    <row r="189" spans="1:11" ht="20.100000000000001" customHeight="1" x14ac:dyDescent="0.35">
      <c r="A189" s="35" t="s">
        <v>448</v>
      </c>
      <c r="B189" s="44" t="s">
        <v>43</v>
      </c>
      <c r="C189" s="39" t="s">
        <v>12</v>
      </c>
      <c r="D189" s="38">
        <v>7680</v>
      </c>
      <c r="E189" s="38">
        <v>2577</v>
      </c>
      <c r="F189" s="38">
        <v>19793455</v>
      </c>
      <c r="G189" s="38">
        <v>1979345</v>
      </c>
      <c r="H189" s="38">
        <v>21772800</v>
      </c>
      <c r="I189" s="39" t="s">
        <v>89</v>
      </c>
      <c r="J189" s="39" t="s">
        <v>150</v>
      </c>
      <c r="K189" s="35" t="s">
        <v>215</v>
      </c>
    </row>
    <row r="190" spans="1:11" ht="20.100000000000001" customHeight="1" x14ac:dyDescent="0.35">
      <c r="A190" s="35" t="s">
        <v>449</v>
      </c>
      <c r="B190" s="44" t="s">
        <v>43</v>
      </c>
      <c r="C190" s="39" t="s">
        <v>12</v>
      </c>
      <c r="D190" s="38">
        <v>444</v>
      </c>
      <c r="E190" s="38">
        <v>2577</v>
      </c>
      <c r="F190" s="38">
        <v>1144309</v>
      </c>
      <c r="G190" s="38">
        <v>114431</v>
      </c>
      <c r="H190" s="38">
        <v>1258740</v>
      </c>
      <c r="I190" s="39" t="s">
        <v>89</v>
      </c>
      <c r="J190" s="39" t="s">
        <v>210</v>
      </c>
      <c r="K190" s="35" t="s">
        <v>211</v>
      </c>
    </row>
    <row r="191" spans="1:11" ht="20.100000000000001" customHeight="1" x14ac:dyDescent="0.35">
      <c r="A191" s="35" t="s">
        <v>450</v>
      </c>
      <c r="B191" s="36" t="s">
        <v>45</v>
      </c>
      <c r="C191" s="37" t="s">
        <v>15</v>
      </c>
      <c r="D191" s="38">
        <v>480</v>
      </c>
      <c r="E191" s="38">
        <v>2405</v>
      </c>
      <c r="F191" s="38">
        <v>1154619</v>
      </c>
      <c r="G191" s="38">
        <v>115461</v>
      </c>
      <c r="H191" s="38">
        <v>1270080</v>
      </c>
      <c r="I191" s="39" t="s">
        <v>89</v>
      </c>
      <c r="J191" s="39" t="s">
        <v>210</v>
      </c>
      <c r="K191" s="35" t="s">
        <v>211</v>
      </c>
    </row>
    <row r="192" spans="1:11" ht="20.100000000000001" customHeight="1" x14ac:dyDescent="0.35">
      <c r="A192" s="35" t="s">
        <v>451</v>
      </c>
      <c r="B192" s="44" t="s">
        <v>43</v>
      </c>
      <c r="C192" s="39" t="s">
        <v>12</v>
      </c>
      <c r="D192" s="38">
        <v>8</v>
      </c>
      <c r="E192" s="38">
        <v>4975</v>
      </c>
      <c r="F192" s="38">
        <v>39800</v>
      </c>
      <c r="G192" s="38">
        <v>0</v>
      </c>
      <c r="H192" s="38">
        <v>39800</v>
      </c>
      <c r="I192" s="39" t="s">
        <v>153</v>
      </c>
      <c r="J192" s="39" t="s">
        <v>159</v>
      </c>
      <c r="K192" s="35"/>
    </row>
    <row r="193" spans="1:11" ht="20.100000000000001" customHeight="1" x14ac:dyDescent="0.35">
      <c r="A193" s="35" t="s">
        <v>452</v>
      </c>
      <c r="B193" s="44" t="s">
        <v>43</v>
      </c>
      <c r="C193" s="39" t="s">
        <v>12</v>
      </c>
      <c r="D193" s="38">
        <v>10080</v>
      </c>
      <c r="E193" s="38">
        <v>2577</v>
      </c>
      <c r="F193" s="38">
        <v>25978909</v>
      </c>
      <c r="G193" s="38">
        <v>2597891</v>
      </c>
      <c r="H193" s="38">
        <v>28576800</v>
      </c>
      <c r="I193" s="39" t="s">
        <v>89</v>
      </c>
      <c r="J193" s="39" t="s">
        <v>208</v>
      </c>
      <c r="K193" s="35" t="s">
        <v>211</v>
      </c>
    </row>
    <row r="194" spans="1:11" ht="20.100000000000001" customHeight="1" x14ac:dyDescent="0.35">
      <c r="A194" s="35" t="s">
        <v>453</v>
      </c>
      <c r="B194" s="44" t="s">
        <v>43</v>
      </c>
      <c r="C194" s="39" t="s">
        <v>12</v>
      </c>
      <c r="D194" s="38">
        <v>444</v>
      </c>
      <c r="E194" s="38">
        <v>2577</v>
      </c>
      <c r="F194" s="38">
        <v>1144309</v>
      </c>
      <c r="G194" s="38">
        <v>114431</v>
      </c>
      <c r="H194" s="38">
        <v>1258740</v>
      </c>
      <c r="I194" s="39" t="s">
        <v>89</v>
      </c>
      <c r="J194" s="39" t="s">
        <v>210</v>
      </c>
      <c r="K194" s="35" t="s">
        <v>216</v>
      </c>
    </row>
    <row r="195" spans="1:11" ht="20.100000000000001" customHeight="1" x14ac:dyDescent="0.35">
      <c r="A195" s="35" t="s">
        <v>454</v>
      </c>
      <c r="B195" s="36" t="s">
        <v>45</v>
      </c>
      <c r="C195" s="37" t="s">
        <v>15</v>
      </c>
      <c r="D195" s="38">
        <v>9</v>
      </c>
      <c r="E195" s="38">
        <v>2500</v>
      </c>
      <c r="F195" s="38">
        <v>22500</v>
      </c>
      <c r="G195" s="38">
        <v>2250</v>
      </c>
      <c r="H195" s="38">
        <v>24750</v>
      </c>
      <c r="I195" s="39" t="s">
        <v>217</v>
      </c>
      <c r="J195" s="39"/>
      <c r="K195" s="35" t="s">
        <v>218</v>
      </c>
    </row>
    <row r="196" spans="1:11" ht="20.100000000000001" customHeight="1" x14ac:dyDescent="0.35">
      <c r="A196" s="35" t="s">
        <v>454</v>
      </c>
      <c r="B196" s="40" t="s">
        <v>44</v>
      </c>
      <c r="C196" s="39" t="s">
        <v>41</v>
      </c>
      <c r="D196" s="38">
        <v>30</v>
      </c>
      <c r="E196" s="38">
        <v>1000</v>
      </c>
      <c r="F196" s="38">
        <v>30000</v>
      </c>
      <c r="G196" s="38">
        <v>3000</v>
      </c>
      <c r="H196" s="38">
        <v>33000</v>
      </c>
      <c r="I196" s="39" t="s">
        <v>217</v>
      </c>
      <c r="J196" s="39"/>
      <c r="K196" s="35" t="s">
        <v>218</v>
      </c>
    </row>
    <row r="197" spans="1:11" ht="20.100000000000001" customHeight="1" x14ac:dyDescent="0.35">
      <c r="A197" s="35" t="s">
        <v>455</v>
      </c>
      <c r="B197" s="36" t="s">
        <v>45</v>
      </c>
      <c r="C197" s="37" t="s">
        <v>15</v>
      </c>
      <c r="D197" s="38">
        <v>100</v>
      </c>
      <c r="E197" s="38">
        <v>3150</v>
      </c>
      <c r="F197" s="38">
        <v>315000</v>
      </c>
      <c r="G197" s="38">
        <v>31500</v>
      </c>
      <c r="H197" s="38">
        <v>346500</v>
      </c>
      <c r="I197" s="39" t="s">
        <v>174</v>
      </c>
      <c r="J197" s="39" t="s">
        <v>219</v>
      </c>
      <c r="K197" s="35" t="s">
        <v>220</v>
      </c>
    </row>
    <row r="198" spans="1:11" ht="20.100000000000001" customHeight="1" x14ac:dyDescent="0.35">
      <c r="A198" s="35" t="s">
        <v>456</v>
      </c>
      <c r="B198" s="44" t="s">
        <v>43</v>
      </c>
      <c r="C198" s="39" t="s">
        <v>12</v>
      </c>
      <c r="D198" s="38">
        <v>21600</v>
      </c>
      <c r="E198" s="38">
        <v>2577</v>
      </c>
      <c r="F198" s="38">
        <v>55669091</v>
      </c>
      <c r="G198" s="38">
        <v>5566909</v>
      </c>
      <c r="H198" s="38">
        <v>61236000</v>
      </c>
      <c r="I198" s="39" t="s">
        <v>89</v>
      </c>
      <c r="J198" s="39" t="s">
        <v>208</v>
      </c>
      <c r="K198" s="35" t="s">
        <v>216</v>
      </c>
    </row>
    <row r="199" spans="1:11" ht="20.100000000000001" customHeight="1" x14ac:dyDescent="0.35">
      <c r="A199" s="35" t="s">
        <v>457</v>
      </c>
      <c r="B199" s="44" t="s">
        <v>43</v>
      </c>
      <c r="C199" s="39" t="s">
        <v>12</v>
      </c>
      <c r="D199" s="38">
        <v>8</v>
      </c>
      <c r="E199" s="38">
        <v>4975</v>
      </c>
      <c r="F199" s="38">
        <v>39800</v>
      </c>
      <c r="G199" s="38">
        <v>0</v>
      </c>
      <c r="H199" s="38">
        <v>39800</v>
      </c>
      <c r="I199" s="39" t="s">
        <v>153</v>
      </c>
      <c r="J199" s="39" t="s">
        <v>159</v>
      </c>
      <c r="K199" s="35"/>
    </row>
    <row r="200" spans="1:11" ht="20.100000000000001" customHeight="1" x14ac:dyDescent="0.35">
      <c r="A200" s="35" t="s">
        <v>458</v>
      </c>
      <c r="B200" s="44" t="s">
        <v>43</v>
      </c>
      <c r="C200" s="39" t="s">
        <v>12</v>
      </c>
      <c r="D200" s="38">
        <v>4320</v>
      </c>
      <c r="E200" s="38">
        <v>2577</v>
      </c>
      <c r="F200" s="38">
        <v>11133819</v>
      </c>
      <c r="G200" s="38">
        <v>1113381</v>
      </c>
      <c r="H200" s="38">
        <v>12247200</v>
      </c>
      <c r="I200" s="39" t="s">
        <v>89</v>
      </c>
      <c r="J200" s="39" t="s">
        <v>144</v>
      </c>
      <c r="K200" s="35" t="s">
        <v>221</v>
      </c>
    </row>
    <row r="201" spans="1:11" ht="20.100000000000001" customHeight="1" x14ac:dyDescent="0.35">
      <c r="A201" s="35" t="s">
        <v>459</v>
      </c>
      <c r="B201" s="44" t="s">
        <v>43</v>
      </c>
      <c r="C201" s="39" t="s">
        <v>12</v>
      </c>
      <c r="D201" s="38">
        <v>3000</v>
      </c>
      <c r="E201" s="38">
        <v>2577</v>
      </c>
      <c r="F201" s="38">
        <v>7731818</v>
      </c>
      <c r="G201" s="38">
        <v>773182</v>
      </c>
      <c r="H201" s="38">
        <v>8505000</v>
      </c>
      <c r="I201" s="39" t="s">
        <v>89</v>
      </c>
      <c r="J201" s="39" t="s">
        <v>222</v>
      </c>
      <c r="K201" s="35" t="s">
        <v>220</v>
      </c>
    </row>
    <row r="202" spans="1:11" ht="20.100000000000001" customHeight="1" x14ac:dyDescent="0.35">
      <c r="A202" s="35" t="s">
        <v>460</v>
      </c>
      <c r="B202" s="44" t="s">
        <v>43</v>
      </c>
      <c r="C202" s="39" t="s">
        <v>12</v>
      </c>
      <c r="D202" s="38">
        <v>300</v>
      </c>
      <c r="E202" s="38">
        <v>2577</v>
      </c>
      <c r="F202" s="38">
        <v>773182</v>
      </c>
      <c r="G202" s="38">
        <v>77318</v>
      </c>
      <c r="H202" s="38">
        <v>850500</v>
      </c>
      <c r="I202" s="39" t="s">
        <v>89</v>
      </c>
      <c r="J202" s="39" t="s">
        <v>222</v>
      </c>
      <c r="K202" s="35" t="s">
        <v>220</v>
      </c>
    </row>
    <row r="203" spans="1:11" ht="20.100000000000001" customHeight="1" x14ac:dyDescent="0.35">
      <c r="A203" s="35" t="s">
        <v>461</v>
      </c>
      <c r="B203" s="44" t="s">
        <v>43</v>
      </c>
      <c r="C203" s="39" t="s">
        <v>12</v>
      </c>
      <c r="D203" s="38">
        <v>8580</v>
      </c>
      <c r="E203" s="38">
        <v>2577</v>
      </c>
      <c r="F203" s="38">
        <v>22113000</v>
      </c>
      <c r="G203" s="38">
        <v>2211300</v>
      </c>
      <c r="H203" s="38">
        <v>24324300</v>
      </c>
      <c r="I203" s="39" t="s">
        <v>89</v>
      </c>
      <c r="J203" s="39" t="s">
        <v>144</v>
      </c>
      <c r="K203" s="35" t="s">
        <v>223</v>
      </c>
    </row>
    <row r="204" spans="1:11" ht="20.100000000000001" customHeight="1" x14ac:dyDescent="0.35">
      <c r="A204" s="35" t="s">
        <v>462</v>
      </c>
      <c r="B204" s="44" t="s">
        <v>43</v>
      </c>
      <c r="C204" s="39" t="s">
        <v>12</v>
      </c>
      <c r="D204" s="38">
        <v>8</v>
      </c>
      <c r="E204" s="38">
        <v>4975</v>
      </c>
      <c r="F204" s="38">
        <v>39800</v>
      </c>
      <c r="G204" s="38">
        <v>0</v>
      </c>
      <c r="H204" s="38">
        <v>39800</v>
      </c>
      <c r="I204" s="39" t="s">
        <v>153</v>
      </c>
      <c r="J204" s="39" t="s">
        <v>159</v>
      </c>
      <c r="K204" s="35"/>
    </row>
    <row r="205" spans="1:11" ht="20.100000000000001" customHeight="1" x14ac:dyDescent="0.35">
      <c r="A205" s="35" t="s">
        <v>463</v>
      </c>
      <c r="B205" s="36" t="s">
        <v>45</v>
      </c>
      <c r="C205" s="37" t="s">
        <v>15</v>
      </c>
      <c r="D205" s="38">
        <v>4</v>
      </c>
      <c r="E205" s="38">
        <v>0</v>
      </c>
      <c r="F205" s="38">
        <v>0</v>
      </c>
      <c r="G205" s="38">
        <v>0</v>
      </c>
      <c r="H205" s="38">
        <v>0</v>
      </c>
      <c r="I205" s="39" t="s">
        <v>224</v>
      </c>
      <c r="J205" s="39" t="s">
        <v>113</v>
      </c>
      <c r="K205" s="35"/>
    </row>
    <row r="206" spans="1:11" ht="20.100000000000001" customHeight="1" x14ac:dyDescent="0.35">
      <c r="A206" s="35" t="s">
        <v>463</v>
      </c>
      <c r="B206" s="40" t="s">
        <v>44</v>
      </c>
      <c r="C206" s="39" t="s">
        <v>41</v>
      </c>
      <c r="D206" s="38">
        <v>4</v>
      </c>
      <c r="E206" s="38">
        <v>0</v>
      </c>
      <c r="F206" s="38">
        <v>0</v>
      </c>
      <c r="G206" s="38">
        <v>0</v>
      </c>
      <c r="H206" s="38">
        <v>0</v>
      </c>
      <c r="I206" s="39" t="s">
        <v>224</v>
      </c>
      <c r="J206" s="39" t="s">
        <v>113</v>
      </c>
      <c r="K206" s="35"/>
    </row>
    <row r="207" spans="1:11" ht="20.100000000000001" customHeight="1" x14ac:dyDescent="0.35">
      <c r="A207" s="35" t="s">
        <v>464</v>
      </c>
      <c r="B207" s="36" t="s">
        <v>45</v>
      </c>
      <c r="C207" s="37" t="s">
        <v>15</v>
      </c>
      <c r="D207" s="38">
        <v>40</v>
      </c>
      <c r="E207" s="38">
        <v>2405</v>
      </c>
      <c r="F207" s="38">
        <v>96218</v>
      </c>
      <c r="G207" s="38">
        <v>9622</v>
      </c>
      <c r="H207" s="38">
        <v>105840</v>
      </c>
      <c r="I207" s="39" t="s">
        <v>89</v>
      </c>
      <c r="J207" s="39" t="s">
        <v>225</v>
      </c>
      <c r="K207" s="35" t="s">
        <v>223</v>
      </c>
    </row>
    <row r="208" spans="1:11" ht="20.100000000000001" customHeight="1" x14ac:dyDescent="0.35">
      <c r="A208" s="35" t="s">
        <v>465</v>
      </c>
      <c r="B208" s="44" t="s">
        <v>43</v>
      </c>
      <c r="C208" s="39" t="s">
        <v>12</v>
      </c>
      <c r="D208" s="38">
        <v>12</v>
      </c>
      <c r="E208" s="38">
        <v>3500</v>
      </c>
      <c r="F208" s="38">
        <v>42000</v>
      </c>
      <c r="G208" s="38">
        <v>4200</v>
      </c>
      <c r="H208" s="38">
        <v>46200</v>
      </c>
      <c r="I208" s="39" t="s">
        <v>226</v>
      </c>
      <c r="J208" s="39"/>
      <c r="K208" s="35" t="s">
        <v>218</v>
      </c>
    </row>
    <row r="209" spans="1:11" ht="20.100000000000001" customHeight="1" x14ac:dyDescent="0.35">
      <c r="A209" s="35" t="s">
        <v>466</v>
      </c>
      <c r="B209" s="44" t="s">
        <v>43</v>
      </c>
      <c r="C209" s="39" t="s">
        <v>12</v>
      </c>
      <c r="D209" s="38">
        <v>480</v>
      </c>
      <c r="E209" s="38">
        <v>2577</v>
      </c>
      <c r="F209" s="38">
        <v>1237091</v>
      </c>
      <c r="G209" s="38">
        <v>123709</v>
      </c>
      <c r="H209" s="38">
        <v>1360800</v>
      </c>
      <c r="I209" s="39" t="s">
        <v>89</v>
      </c>
      <c r="J209" s="39" t="s">
        <v>140</v>
      </c>
      <c r="K209" s="35" t="s">
        <v>227</v>
      </c>
    </row>
    <row r="210" spans="1:11" ht="20.100000000000001" customHeight="1" x14ac:dyDescent="0.35">
      <c r="A210" s="35" t="s">
        <v>467</v>
      </c>
      <c r="B210" s="44" t="s">
        <v>43</v>
      </c>
      <c r="C210" s="39" t="s">
        <v>12</v>
      </c>
      <c r="D210" s="38">
        <v>6072</v>
      </c>
      <c r="E210" s="38">
        <v>2577</v>
      </c>
      <c r="F210" s="38">
        <v>15649200</v>
      </c>
      <c r="G210" s="38">
        <v>1564920</v>
      </c>
      <c r="H210" s="38">
        <v>17214120</v>
      </c>
      <c r="I210" s="39" t="s">
        <v>89</v>
      </c>
      <c r="J210" s="39" t="s">
        <v>228</v>
      </c>
      <c r="K210" s="35" t="s">
        <v>218</v>
      </c>
    </row>
    <row r="211" spans="1:11" ht="20.100000000000001" customHeight="1" x14ac:dyDescent="0.35">
      <c r="A211" s="35" t="s">
        <v>468</v>
      </c>
      <c r="B211" s="44" t="s">
        <v>43</v>
      </c>
      <c r="C211" s="39" t="s">
        <v>12</v>
      </c>
      <c r="D211" s="38">
        <v>756</v>
      </c>
      <c r="E211" s="38">
        <v>2577</v>
      </c>
      <c r="F211" s="38">
        <v>1948419</v>
      </c>
      <c r="G211" s="38">
        <v>194841</v>
      </c>
      <c r="H211" s="38">
        <v>2143260</v>
      </c>
      <c r="I211" s="39" t="s">
        <v>89</v>
      </c>
      <c r="J211" s="39" t="s">
        <v>137</v>
      </c>
      <c r="K211" s="35" t="s">
        <v>229</v>
      </c>
    </row>
    <row r="212" spans="1:11" ht="20.100000000000001" customHeight="1" x14ac:dyDescent="0.35">
      <c r="A212" s="35" t="s">
        <v>469</v>
      </c>
      <c r="B212" s="44" t="s">
        <v>43</v>
      </c>
      <c r="C212" s="39" t="s">
        <v>12</v>
      </c>
      <c r="D212" s="38">
        <v>28116</v>
      </c>
      <c r="E212" s="38">
        <v>2577</v>
      </c>
      <c r="F212" s="38">
        <v>72462600</v>
      </c>
      <c r="G212" s="38">
        <v>7246260</v>
      </c>
      <c r="H212" s="38">
        <v>79708860</v>
      </c>
      <c r="I212" s="39" t="s">
        <v>89</v>
      </c>
      <c r="J212" s="39" t="s">
        <v>151</v>
      </c>
      <c r="K212" s="35" t="s">
        <v>218</v>
      </c>
    </row>
    <row r="213" spans="1:11" ht="20.100000000000001" customHeight="1" x14ac:dyDescent="0.35">
      <c r="A213" s="35" t="s">
        <v>470</v>
      </c>
      <c r="B213" s="44" t="s">
        <v>43</v>
      </c>
      <c r="C213" s="39" t="s">
        <v>12</v>
      </c>
      <c r="D213" s="38">
        <v>18996</v>
      </c>
      <c r="E213" s="38">
        <v>2577</v>
      </c>
      <c r="F213" s="38">
        <v>48957873</v>
      </c>
      <c r="G213" s="38">
        <v>4895787</v>
      </c>
      <c r="H213" s="38">
        <v>53853660</v>
      </c>
      <c r="I213" s="39" t="s">
        <v>89</v>
      </c>
      <c r="J213" s="39" t="s">
        <v>119</v>
      </c>
      <c r="K213" s="35" t="s">
        <v>218</v>
      </c>
    </row>
    <row r="214" spans="1:11" ht="20.100000000000001" customHeight="1" x14ac:dyDescent="0.35">
      <c r="A214" s="35" t="s">
        <v>471</v>
      </c>
      <c r="B214" s="36" t="s">
        <v>45</v>
      </c>
      <c r="C214" s="37" t="s">
        <v>15</v>
      </c>
      <c r="D214" s="38">
        <v>11880</v>
      </c>
      <c r="E214" s="38">
        <v>2405</v>
      </c>
      <c r="F214" s="38">
        <v>28576800</v>
      </c>
      <c r="G214" s="38">
        <v>2857680</v>
      </c>
      <c r="H214" s="38">
        <v>31434480</v>
      </c>
      <c r="I214" s="39" t="s">
        <v>89</v>
      </c>
      <c r="J214" s="39" t="s">
        <v>110</v>
      </c>
      <c r="K214" s="35" t="s">
        <v>218</v>
      </c>
    </row>
    <row r="215" spans="1:11" ht="20.100000000000001" customHeight="1" x14ac:dyDescent="0.35">
      <c r="A215" s="35" t="s">
        <v>472</v>
      </c>
      <c r="B215" s="44" t="s">
        <v>43</v>
      </c>
      <c r="C215" s="39" t="s">
        <v>12</v>
      </c>
      <c r="D215" s="38">
        <v>2556</v>
      </c>
      <c r="E215" s="38">
        <v>0</v>
      </c>
      <c r="F215" s="38">
        <v>0</v>
      </c>
      <c r="G215" s="38">
        <v>0</v>
      </c>
      <c r="H215" s="38">
        <v>0</v>
      </c>
      <c r="I215" s="39" t="s">
        <v>209</v>
      </c>
      <c r="J215" s="39" t="s">
        <v>230</v>
      </c>
      <c r="K215" s="35"/>
    </row>
    <row r="216" spans="1:11" ht="20.100000000000001" customHeight="1" x14ac:dyDescent="0.35">
      <c r="A216" s="54" t="s">
        <v>67</v>
      </c>
      <c r="B216" s="55"/>
      <c r="C216" s="56"/>
      <c r="D216" s="41">
        <f>SUM(D127:D215)</f>
        <v>386073</v>
      </c>
      <c r="E216" s="41">
        <f t="shared" ref="E216:H216" si="3">SUM(E127:E215)</f>
        <v>268115</v>
      </c>
      <c r="F216" s="41">
        <f t="shared" si="3"/>
        <v>991741350</v>
      </c>
      <c r="G216" s="41">
        <f t="shared" si="3"/>
        <v>98004008</v>
      </c>
      <c r="H216" s="41">
        <f t="shared" si="3"/>
        <v>1089745358</v>
      </c>
      <c r="I216" s="42"/>
      <c r="J216" s="42"/>
      <c r="K216" s="43"/>
    </row>
    <row r="217" spans="1:11" ht="20.100000000000001" customHeight="1" x14ac:dyDescent="0.35">
      <c r="A217" s="35" t="s">
        <v>474</v>
      </c>
      <c r="B217" s="44" t="s">
        <v>43</v>
      </c>
      <c r="C217" s="39" t="s">
        <v>12</v>
      </c>
      <c r="D217" s="38">
        <v>424</v>
      </c>
      <c r="E217" s="38">
        <v>4975</v>
      </c>
      <c r="F217" s="38">
        <v>2109400</v>
      </c>
      <c r="G217" s="38">
        <v>0</v>
      </c>
      <c r="H217" s="38">
        <v>2109400</v>
      </c>
      <c r="I217" s="39" t="s">
        <v>183</v>
      </c>
      <c r="J217" s="39" t="s">
        <v>204</v>
      </c>
      <c r="K217" s="35"/>
    </row>
    <row r="218" spans="1:11" ht="20.100000000000001" customHeight="1" x14ac:dyDescent="0.35">
      <c r="A218" s="35" t="s">
        <v>475</v>
      </c>
      <c r="B218" s="44" t="s">
        <v>43</v>
      </c>
      <c r="C218" s="39" t="s">
        <v>12</v>
      </c>
      <c r="D218" s="38">
        <v>464</v>
      </c>
      <c r="E218" s="38">
        <v>4975</v>
      </c>
      <c r="F218" s="38">
        <v>2308400</v>
      </c>
      <c r="G218" s="38">
        <v>0</v>
      </c>
      <c r="H218" s="38">
        <v>2308400</v>
      </c>
      <c r="I218" s="39" t="s">
        <v>183</v>
      </c>
      <c r="J218" s="39" t="s">
        <v>231</v>
      </c>
      <c r="K218" s="35"/>
    </row>
    <row r="219" spans="1:11" ht="20.100000000000001" customHeight="1" x14ac:dyDescent="0.35">
      <c r="A219" s="35" t="s">
        <v>476</v>
      </c>
      <c r="B219" s="44" t="s">
        <v>43</v>
      </c>
      <c r="C219" s="39" t="s">
        <v>12</v>
      </c>
      <c r="D219" s="38">
        <v>24</v>
      </c>
      <c r="E219" s="38">
        <v>3636</v>
      </c>
      <c r="F219" s="38">
        <v>87273</v>
      </c>
      <c r="G219" s="38">
        <v>8727</v>
      </c>
      <c r="H219" s="38">
        <v>96000</v>
      </c>
      <c r="I219" s="39" t="s">
        <v>232</v>
      </c>
      <c r="J219" s="39" t="s">
        <v>233</v>
      </c>
      <c r="K219" s="35" t="s">
        <v>227</v>
      </c>
    </row>
    <row r="220" spans="1:11" ht="20.100000000000001" customHeight="1" x14ac:dyDescent="0.35">
      <c r="A220" s="35" t="s">
        <v>477</v>
      </c>
      <c r="B220" s="44" t="s">
        <v>43</v>
      </c>
      <c r="C220" s="39" t="s">
        <v>12</v>
      </c>
      <c r="D220" s="38">
        <v>320</v>
      </c>
      <c r="E220" s="38">
        <v>4975</v>
      </c>
      <c r="F220" s="38">
        <v>1592000</v>
      </c>
      <c r="G220" s="38">
        <v>0</v>
      </c>
      <c r="H220" s="38">
        <v>1592000</v>
      </c>
      <c r="I220" s="39" t="s">
        <v>183</v>
      </c>
      <c r="J220" s="39" t="s">
        <v>234</v>
      </c>
      <c r="K220" s="35"/>
    </row>
    <row r="221" spans="1:11" ht="20.100000000000001" customHeight="1" x14ac:dyDescent="0.35">
      <c r="A221" s="35" t="s">
        <v>478</v>
      </c>
      <c r="B221" s="36" t="s">
        <v>45</v>
      </c>
      <c r="C221" s="37" t="s">
        <v>15</v>
      </c>
      <c r="D221" s="38">
        <v>60</v>
      </c>
      <c r="E221" s="38">
        <v>2405</v>
      </c>
      <c r="F221" s="38">
        <v>144327</v>
      </c>
      <c r="G221" s="38">
        <v>14433</v>
      </c>
      <c r="H221" s="38">
        <v>158760</v>
      </c>
      <c r="I221" s="39" t="s">
        <v>89</v>
      </c>
      <c r="J221" s="39" t="s">
        <v>143</v>
      </c>
      <c r="K221" s="35" t="s">
        <v>235</v>
      </c>
    </row>
    <row r="222" spans="1:11" ht="20.100000000000001" customHeight="1" x14ac:dyDescent="0.35">
      <c r="A222" s="35" t="s">
        <v>479</v>
      </c>
      <c r="B222" s="36" t="s">
        <v>45</v>
      </c>
      <c r="C222" s="37" t="s">
        <v>15</v>
      </c>
      <c r="D222" s="38">
        <v>40</v>
      </c>
      <c r="E222" s="38">
        <v>2405</v>
      </c>
      <c r="F222" s="38">
        <v>96218</v>
      </c>
      <c r="G222" s="38">
        <v>9622</v>
      </c>
      <c r="H222" s="38">
        <v>105840</v>
      </c>
      <c r="I222" s="39" t="s">
        <v>89</v>
      </c>
      <c r="J222" s="39" t="s">
        <v>143</v>
      </c>
      <c r="K222" s="35" t="s">
        <v>235</v>
      </c>
    </row>
    <row r="223" spans="1:11" ht="20.100000000000001" customHeight="1" x14ac:dyDescent="0.35">
      <c r="A223" s="35" t="s">
        <v>480</v>
      </c>
      <c r="B223" s="36" t="s">
        <v>45</v>
      </c>
      <c r="C223" s="37" t="s">
        <v>15</v>
      </c>
      <c r="D223" s="38">
        <v>36</v>
      </c>
      <c r="E223" s="38">
        <v>2405</v>
      </c>
      <c r="F223" s="38">
        <v>86597</v>
      </c>
      <c r="G223" s="38">
        <v>8659</v>
      </c>
      <c r="H223" s="38">
        <v>95256</v>
      </c>
      <c r="I223" s="39" t="s">
        <v>89</v>
      </c>
      <c r="J223" s="39" t="s">
        <v>143</v>
      </c>
      <c r="K223" s="35" t="s">
        <v>235</v>
      </c>
    </row>
    <row r="224" spans="1:11" ht="20.100000000000001" customHeight="1" x14ac:dyDescent="0.35">
      <c r="A224" s="35" t="s">
        <v>481</v>
      </c>
      <c r="B224" s="36" t="s">
        <v>45</v>
      </c>
      <c r="C224" s="37" t="s">
        <v>15</v>
      </c>
      <c r="D224" s="38">
        <v>200</v>
      </c>
      <c r="E224" s="38">
        <v>2405</v>
      </c>
      <c r="F224" s="38">
        <v>481091</v>
      </c>
      <c r="G224" s="38">
        <v>48109</v>
      </c>
      <c r="H224" s="38">
        <v>529200</v>
      </c>
      <c r="I224" s="39" t="s">
        <v>89</v>
      </c>
      <c r="J224" s="39" t="s">
        <v>143</v>
      </c>
      <c r="K224" s="35" t="s">
        <v>235</v>
      </c>
    </row>
    <row r="225" spans="1:11" ht="20.100000000000001" customHeight="1" x14ac:dyDescent="0.35">
      <c r="A225" s="35" t="s">
        <v>482</v>
      </c>
      <c r="B225" s="36" t="s">
        <v>45</v>
      </c>
      <c r="C225" s="37" t="s">
        <v>15</v>
      </c>
      <c r="D225" s="38">
        <v>180</v>
      </c>
      <c r="E225" s="38">
        <v>2405</v>
      </c>
      <c r="F225" s="38">
        <v>432982</v>
      </c>
      <c r="G225" s="38">
        <v>43298</v>
      </c>
      <c r="H225" s="38">
        <v>476280</v>
      </c>
      <c r="I225" s="39" t="s">
        <v>89</v>
      </c>
      <c r="J225" s="39" t="s">
        <v>143</v>
      </c>
      <c r="K225" s="35" t="s">
        <v>235</v>
      </c>
    </row>
    <row r="226" spans="1:11" ht="20.100000000000001" customHeight="1" x14ac:dyDescent="0.35">
      <c r="A226" s="35" t="s">
        <v>483</v>
      </c>
      <c r="B226" s="44" t="s">
        <v>43</v>
      </c>
      <c r="C226" s="39" t="s">
        <v>12</v>
      </c>
      <c r="D226" s="38">
        <v>16</v>
      </c>
      <c r="E226" s="38">
        <v>4975</v>
      </c>
      <c r="F226" s="38">
        <v>79600</v>
      </c>
      <c r="G226" s="38">
        <v>0</v>
      </c>
      <c r="H226" s="38">
        <v>79600</v>
      </c>
      <c r="I226" s="39" t="s">
        <v>153</v>
      </c>
      <c r="J226" s="39" t="s">
        <v>202</v>
      </c>
      <c r="K226" s="35"/>
    </row>
    <row r="227" spans="1:11" ht="20.100000000000001" customHeight="1" x14ac:dyDescent="0.35">
      <c r="A227" s="35" t="s">
        <v>484</v>
      </c>
      <c r="B227" s="44" t="s">
        <v>43</v>
      </c>
      <c r="C227" s="39" t="s">
        <v>12</v>
      </c>
      <c r="D227" s="38">
        <v>16</v>
      </c>
      <c r="E227" s="38">
        <v>4975</v>
      </c>
      <c r="F227" s="38">
        <v>79600</v>
      </c>
      <c r="G227" s="38">
        <v>0</v>
      </c>
      <c r="H227" s="38">
        <v>79600</v>
      </c>
      <c r="I227" s="39" t="s">
        <v>183</v>
      </c>
      <c r="J227" s="39" t="s">
        <v>202</v>
      </c>
      <c r="K227" s="35"/>
    </row>
    <row r="228" spans="1:11" ht="20.100000000000001" customHeight="1" x14ac:dyDescent="0.35">
      <c r="A228" s="35" t="s">
        <v>74</v>
      </c>
      <c r="B228" s="44" t="s">
        <v>43</v>
      </c>
      <c r="C228" s="39" t="s">
        <v>12</v>
      </c>
      <c r="D228" s="38">
        <v>100</v>
      </c>
      <c r="E228" s="38">
        <v>2577</v>
      </c>
      <c r="F228" s="38">
        <v>257727</v>
      </c>
      <c r="G228" s="38">
        <v>25773</v>
      </c>
      <c r="H228" s="38">
        <v>283500</v>
      </c>
      <c r="I228" s="39" t="s">
        <v>89</v>
      </c>
      <c r="J228" s="39" t="s">
        <v>137</v>
      </c>
      <c r="K228" s="35" t="s">
        <v>236</v>
      </c>
    </row>
    <row r="229" spans="1:11" ht="20.100000000000001" customHeight="1" x14ac:dyDescent="0.35">
      <c r="A229" s="35" t="s">
        <v>485</v>
      </c>
      <c r="B229" s="44" t="s">
        <v>43</v>
      </c>
      <c r="C229" s="39" t="s">
        <v>12</v>
      </c>
      <c r="D229" s="38">
        <v>11020</v>
      </c>
      <c r="E229" s="38">
        <v>2577</v>
      </c>
      <c r="F229" s="38">
        <v>28401546</v>
      </c>
      <c r="G229" s="38">
        <v>2840154</v>
      </c>
      <c r="H229" s="38">
        <v>31241700</v>
      </c>
      <c r="I229" s="39" t="s">
        <v>89</v>
      </c>
      <c r="J229" s="39" t="s">
        <v>137</v>
      </c>
      <c r="K229" s="35" t="s">
        <v>236</v>
      </c>
    </row>
    <row r="230" spans="1:11" ht="20.100000000000001" customHeight="1" x14ac:dyDescent="0.35">
      <c r="A230" s="35" t="s">
        <v>486</v>
      </c>
      <c r="B230" s="44" t="s">
        <v>43</v>
      </c>
      <c r="C230" s="39" t="s">
        <v>12</v>
      </c>
      <c r="D230" s="38">
        <v>220</v>
      </c>
      <c r="E230" s="38">
        <v>2577</v>
      </c>
      <c r="F230" s="38">
        <v>567000</v>
      </c>
      <c r="G230" s="38">
        <v>56700</v>
      </c>
      <c r="H230" s="38">
        <v>623700</v>
      </c>
      <c r="I230" s="39" t="s">
        <v>89</v>
      </c>
      <c r="J230" s="39" t="s">
        <v>137</v>
      </c>
      <c r="K230" s="35" t="s">
        <v>236</v>
      </c>
    </row>
    <row r="231" spans="1:11" ht="20.100000000000001" customHeight="1" x14ac:dyDescent="0.35">
      <c r="A231" s="35" t="s">
        <v>487</v>
      </c>
      <c r="B231" s="44" t="s">
        <v>43</v>
      </c>
      <c r="C231" s="39" t="s">
        <v>12</v>
      </c>
      <c r="D231" s="38">
        <v>14052</v>
      </c>
      <c r="E231" s="38">
        <v>2577</v>
      </c>
      <c r="F231" s="38">
        <v>36215837</v>
      </c>
      <c r="G231" s="38">
        <v>3621583</v>
      </c>
      <c r="H231" s="38">
        <v>39837420</v>
      </c>
      <c r="I231" s="39" t="s">
        <v>89</v>
      </c>
      <c r="J231" s="39" t="s">
        <v>139</v>
      </c>
      <c r="K231" s="35" t="s">
        <v>236</v>
      </c>
    </row>
    <row r="232" spans="1:11" ht="20.100000000000001" customHeight="1" x14ac:dyDescent="0.35">
      <c r="A232" s="35" t="s">
        <v>488</v>
      </c>
      <c r="B232" s="40" t="s">
        <v>44</v>
      </c>
      <c r="C232" s="39" t="s">
        <v>41</v>
      </c>
      <c r="D232" s="38">
        <v>30</v>
      </c>
      <c r="E232" s="38">
        <v>1500</v>
      </c>
      <c r="F232" s="38">
        <v>45000</v>
      </c>
      <c r="G232" s="38">
        <v>4500</v>
      </c>
      <c r="H232" s="38">
        <v>49500</v>
      </c>
      <c r="I232" s="39" t="s">
        <v>232</v>
      </c>
      <c r="J232" s="39" t="s">
        <v>233</v>
      </c>
      <c r="K232" s="35" t="s">
        <v>237</v>
      </c>
    </row>
    <row r="233" spans="1:11" ht="20.100000000000001" customHeight="1" x14ac:dyDescent="0.35">
      <c r="A233" s="35" t="s">
        <v>489</v>
      </c>
      <c r="B233" s="44" t="s">
        <v>43</v>
      </c>
      <c r="C233" s="39" t="s">
        <v>12</v>
      </c>
      <c r="D233" s="38">
        <v>600</v>
      </c>
      <c r="E233" s="38">
        <v>2850</v>
      </c>
      <c r="F233" s="38">
        <v>1710000</v>
      </c>
      <c r="G233" s="38">
        <v>171000</v>
      </c>
      <c r="H233" s="38">
        <v>1881000</v>
      </c>
      <c r="I233" s="39" t="s">
        <v>177</v>
      </c>
      <c r="J233" s="39" t="s">
        <v>238</v>
      </c>
      <c r="K233" s="35" t="s">
        <v>237</v>
      </c>
    </row>
    <row r="234" spans="1:11" ht="20.100000000000001" customHeight="1" x14ac:dyDescent="0.35">
      <c r="A234" s="35" t="s">
        <v>490</v>
      </c>
      <c r="B234" s="44" t="s">
        <v>43</v>
      </c>
      <c r="C234" s="39" t="s">
        <v>12</v>
      </c>
      <c r="D234" s="38">
        <v>8</v>
      </c>
      <c r="E234" s="38">
        <v>4975</v>
      </c>
      <c r="F234" s="38">
        <v>39800</v>
      </c>
      <c r="G234" s="38">
        <v>0</v>
      </c>
      <c r="H234" s="38">
        <v>39800</v>
      </c>
      <c r="I234" s="39" t="s">
        <v>153</v>
      </c>
      <c r="J234" s="39" t="s">
        <v>159</v>
      </c>
      <c r="K234" s="35"/>
    </row>
    <row r="235" spans="1:11" ht="20.100000000000001" customHeight="1" x14ac:dyDescent="0.35">
      <c r="A235" s="35" t="s">
        <v>491</v>
      </c>
      <c r="B235" s="44" t="s">
        <v>43</v>
      </c>
      <c r="C235" s="39" t="s">
        <v>12</v>
      </c>
      <c r="D235" s="38">
        <v>448</v>
      </c>
      <c r="E235" s="38">
        <v>4975</v>
      </c>
      <c r="F235" s="38">
        <v>2228800</v>
      </c>
      <c r="G235" s="38">
        <v>0</v>
      </c>
      <c r="H235" s="38">
        <v>2228800</v>
      </c>
      <c r="I235" s="39" t="s">
        <v>183</v>
      </c>
      <c r="J235" s="39" t="s">
        <v>239</v>
      </c>
      <c r="K235" s="35"/>
    </row>
    <row r="236" spans="1:11" ht="20.100000000000001" customHeight="1" x14ac:dyDescent="0.35">
      <c r="A236" s="35" t="s">
        <v>492</v>
      </c>
      <c r="B236" s="44" t="s">
        <v>43</v>
      </c>
      <c r="C236" s="39" t="s">
        <v>12</v>
      </c>
      <c r="D236" s="38">
        <v>24</v>
      </c>
      <c r="E236" s="38">
        <v>4975</v>
      </c>
      <c r="F236" s="38">
        <v>119400</v>
      </c>
      <c r="G236" s="38">
        <v>0</v>
      </c>
      <c r="H236" s="38">
        <v>119400</v>
      </c>
      <c r="I236" s="39" t="s">
        <v>183</v>
      </c>
      <c r="J236" s="39" t="s">
        <v>155</v>
      </c>
      <c r="K236" s="35"/>
    </row>
    <row r="237" spans="1:11" ht="20.100000000000001" customHeight="1" x14ac:dyDescent="0.35">
      <c r="A237" s="35" t="s">
        <v>493</v>
      </c>
      <c r="B237" s="44" t="s">
        <v>43</v>
      </c>
      <c r="C237" s="39" t="s">
        <v>12</v>
      </c>
      <c r="D237" s="38">
        <v>12</v>
      </c>
      <c r="E237" s="38">
        <v>3500</v>
      </c>
      <c r="F237" s="38">
        <v>42000</v>
      </c>
      <c r="G237" s="38">
        <v>4200</v>
      </c>
      <c r="H237" s="38">
        <v>46200</v>
      </c>
      <c r="I237" s="39" t="s">
        <v>240</v>
      </c>
      <c r="J237" s="39"/>
      <c r="K237" s="35" t="s">
        <v>241</v>
      </c>
    </row>
    <row r="238" spans="1:11" ht="20.100000000000001" customHeight="1" x14ac:dyDescent="0.35">
      <c r="A238" s="35" t="s">
        <v>494</v>
      </c>
      <c r="B238" s="44" t="s">
        <v>43</v>
      </c>
      <c r="C238" s="39" t="s">
        <v>12</v>
      </c>
      <c r="D238" s="38">
        <v>400</v>
      </c>
      <c r="E238" s="38">
        <v>2850</v>
      </c>
      <c r="F238" s="38">
        <v>1140000</v>
      </c>
      <c r="G238" s="38">
        <v>114000</v>
      </c>
      <c r="H238" s="38">
        <v>1254000</v>
      </c>
      <c r="I238" s="39" t="s">
        <v>177</v>
      </c>
      <c r="J238" s="39" t="s">
        <v>242</v>
      </c>
      <c r="K238" s="35" t="s">
        <v>237</v>
      </c>
    </row>
    <row r="239" spans="1:11" ht="20.100000000000001" customHeight="1" x14ac:dyDescent="0.35">
      <c r="A239" s="35" t="s">
        <v>495</v>
      </c>
      <c r="B239" s="44" t="s">
        <v>43</v>
      </c>
      <c r="C239" s="39" t="s">
        <v>12</v>
      </c>
      <c r="D239" s="38">
        <v>8</v>
      </c>
      <c r="E239" s="38">
        <v>4975</v>
      </c>
      <c r="F239" s="38">
        <v>39800</v>
      </c>
      <c r="G239" s="38">
        <v>0</v>
      </c>
      <c r="H239" s="38">
        <v>39800</v>
      </c>
      <c r="I239" s="39" t="s">
        <v>183</v>
      </c>
      <c r="J239" s="39" t="s">
        <v>159</v>
      </c>
      <c r="K239" s="35"/>
    </row>
    <row r="240" spans="1:11" ht="20.100000000000001" customHeight="1" x14ac:dyDescent="0.35">
      <c r="A240" s="35" t="s">
        <v>496</v>
      </c>
      <c r="B240" s="44" t="s">
        <v>43</v>
      </c>
      <c r="C240" s="39" t="s">
        <v>12</v>
      </c>
      <c r="D240" s="38">
        <v>11680</v>
      </c>
      <c r="E240" s="38">
        <v>2577</v>
      </c>
      <c r="F240" s="38">
        <v>30102546</v>
      </c>
      <c r="G240" s="38">
        <v>3010254</v>
      </c>
      <c r="H240" s="38">
        <v>33112800</v>
      </c>
      <c r="I240" s="39" t="s">
        <v>89</v>
      </c>
      <c r="J240" s="39" t="s">
        <v>243</v>
      </c>
      <c r="K240" s="35" t="s">
        <v>241</v>
      </c>
    </row>
    <row r="241" spans="1:11" ht="20.100000000000001" customHeight="1" x14ac:dyDescent="0.35">
      <c r="A241" s="35" t="s">
        <v>497</v>
      </c>
      <c r="B241" s="44" t="s">
        <v>43</v>
      </c>
      <c r="C241" s="39" t="s">
        <v>12</v>
      </c>
      <c r="D241" s="38">
        <v>8</v>
      </c>
      <c r="E241" s="38">
        <v>4975</v>
      </c>
      <c r="F241" s="38">
        <v>39800</v>
      </c>
      <c r="G241" s="38">
        <v>0</v>
      </c>
      <c r="H241" s="38">
        <v>39800</v>
      </c>
      <c r="I241" s="39" t="s">
        <v>153</v>
      </c>
      <c r="J241" s="39" t="s">
        <v>159</v>
      </c>
      <c r="K241" s="35"/>
    </row>
    <row r="242" spans="1:11" ht="20.100000000000001" customHeight="1" x14ac:dyDescent="0.35">
      <c r="A242" s="35" t="s">
        <v>498</v>
      </c>
      <c r="B242" s="44" t="s">
        <v>43</v>
      </c>
      <c r="C242" s="39" t="s">
        <v>12</v>
      </c>
      <c r="D242" s="38">
        <v>800</v>
      </c>
      <c r="E242" s="38">
        <v>2577</v>
      </c>
      <c r="F242" s="38">
        <v>2061819</v>
      </c>
      <c r="G242" s="38">
        <v>206181</v>
      </c>
      <c r="H242" s="38">
        <v>2268000</v>
      </c>
      <c r="I242" s="39" t="s">
        <v>89</v>
      </c>
      <c r="J242" s="39" t="s">
        <v>137</v>
      </c>
      <c r="K242" s="35" t="s">
        <v>244</v>
      </c>
    </row>
    <row r="243" spans="1:11" ht="20.100000000000001" customHeight="1" x14ac:dyDescent="0.35">
      <c r="A243" s="35" t="s">
        <v>499</v>
      </c>
      <c r="B243" s="44" t="s">
        <v>43</v>
      </c>
      <c r="C243" s="39" t="s">
        <v>12</v>
      </c>
      <c r="D243" s="38">
        <v>3440</v>
      </c>
      <c r="E243" s="38">
        <v>2577</v>
      </c>
      <c r="F243" s="38">
        <v>8865818</v>
      </c>
      <c r="G243" s="38">
        <v>886582</v>
      </c>
      <c r="H243" s="38">
        <v>9752400</v>
      </c>
      <c r="I243" s="39" t="s">
        <v>89</v>
      </c>
      <c r="J243" s="39" t="s">
        <v>137</v>
      </c>
      <c r="K243" s="35" t="s">
        <v>244</v>
      </c>
    </row>
    <row r="244" spans="1:11" ht="20.100000000000001" customHeight="1" x14ac:dyDescent="0.35">
      <c r="A244" s="35" t="s">
        <v>500</v>
      </c>
      <c r="B244" s="44" t="s">
        <v>43</v>
      </c>
      <c r="C244" s="39" t="s">
        <v>12</v>
      </c>
      <c r="D244" s="38">
        <v>3440</v>
      </c>
      <c r="E244" s="38">
        <v>2577</v>
      </c>
      <c r="F244" s="38">
        <v>8865818</v>
      </c>
      <c r="G244" s="38">
        <v>886582</v>
      </c>
      <c r="H244" s="38">
        <v>9752400</v>
      </c>
      <c r="I244" s="39" t="s">
        <v>89</v>
      </c>
      <c r="J244" s="39" t="s">
        <v>137</v>
      </c>
      <c r="K244" s="35" t="s">
        <v>244</v>
      </c>
    </row>
    <row r="245" spans="1:11" ht="20.100000000000001" customHeight="1" x14ac:dyDescent="0.35">
      <c r="A245" s="35" t="s">
        <v>501</v>
      </c>
      <c r="B245" s="44" t="s">
        <v>43</v>
      </c>
      <c r="C245" s="39" t="s">
        <v>12</v>
      </c>
      <c r="D245" s="38">
        <v>180</v>
      </c>
      <c r="E245" s="38">
        <v>2577</v>
      </c>
      <c r="F245" s="38">
        <v>463909</v>
      </c>
      <c r="G245" s="38">
        <v>46391</v>
      </c>
      <c r="H245" s="38">
        <v>510300</v>
      </c>
      <c r="I245" s="39" t="s">
        <v>89</v>
      </c>
      <c r="J245" s="39" t="s">
        <v>245</v>
      </c>
      <c r="K245" s="35" t="s">
        <v>246</v>
      </c>
    </row>
    <row r="246" spans="1:11" ht="20.100000000000001" customHeight="1" x14ac:dyDescent="0.35">
      <c r="A246" s="35" t="s">
        <v>502</v>
      </c>
      <c r="B246" s="44" t="s">
        <v>43</v>
      </c>
      <c r="C246" s="39" t="s">
        <v>12</v>
      </c>
      <c r="D246" s="38">
        <v>8</v>
      </c>
      <c r="E246" s="38">
        <v>4975</v>
      </c>
      <c r="F246" s="38">
        <v>39800</v>
      </c>
      <c r="G246" s="38">
        <v>0</v>
      </c>
      <c r="H246" s="38">
        <v>39800</v>
      </c>
      <c r="I246" s="39" t="s">
        <v>183</v>
      </c>
      <c r="J246" s="39" t="s">
        <v>159</v>
      </c>
      <c r="K246" s="35"/>
    </row>
    <row r="247" spans="1:11" ht="20.100000000000001" customHeight="1" x14ac:dyDescent="0.35">
      <c r="A247" s="35" t="s">
        <v>503</v>
      </c>
      <c r="B247" s="44" t="s">
        <v>43</v>
      </c>
      <c r="C247" s="39" t="s">
        <v>12</v>
      </c>
      <c r="D247" s="38">
        <v>16</v>
      </c>
      <c r="E247" s="38">
        <v>4975</v>
      </c>
      <c r="F247" s="38">
        <v>79600</v>
      </c>
      <c r="G247" s="38">
        <v>0</v>
      </c>
      <c r="H247" s="38">
        <v>79600</v>
      </c>
      <c r="I247" s="39" t="s">
        <v>153</v>
      </c>
      <c r="J247" s="39" t="s">
        <v>202</v>
      </c>
      <c r="K247" s="35"/>
    </row>
    <row r="248" spans="1:11" ht="20.100000000000001" customHeight="1" x14ac:dyDescent="0.35">
      <c r="A248" s="35" t="s">
        <v>504</v>
      </c>
      <c r="B248" s="44" t="s">
        <v>43</v>
      </c>
      <c r="C248" s="39" t="s">
        <v>12</v>
      </c>
      <c r="D248" s="38">
        <v>16</v>
      </c>
      <c r="E248" s="38">
        <v>4975</v>
      </c>
      <c r="F248" s="38">
        <v>79600</v>
      </c>
      <c r="G248" s="38">
        <v>0</v>
      </c>
      <c r="H248" s="38">
        <v>79600</v>
      </c>
      <c r="I248" s="39" t="s">
        <v>183</v>
      </c>
      <c r="J248" s="39" t="s">
        <v>202</v>
      </c>
      <c r="K248" s="35"/>
    </row>
    <row r="249" spans="1:11" ht="20.100000000000001" customHeight="1" x14ac:dyDescent="0.35">
      <c r="A249" s="35" t="s">
        <v>505</v>
      </c>
      <c r="B249" s="44" t="s">
        <v>43</v>
      </c>
      <c r="C249" s="39" t="s">
        <v>12</v>
      </c>
      <c r="D249" s="38">
        <v>16</v>
      </c>
      <c r="E249" s="38">
        <v>4975</v>
      </c>
      <c r="F249" s="38">
        <v>79600</v>
      </c>
      <c r="G249" s="38">
        <v>0</v>
      </c>
      <c r="H249" s="38">
        <v>79600</v>
      </c>
      <c r="I249" s="39" t="s">
        <v>153</v>
      </c>
      <c r="J249" s="39" t="s">
        <v>202</v>
      </c>
      <c r="K249" s="35"/>
    </row>
    <row r="250" spans="1:11" ht="20.100000000000001" customHeight="1" x14ac:dyDescent="0.35">
      <c r="A250" s="35" t="s">
        <v>506</v>
      </c>
      <c r="B250" s="44" t="s">
        <v>43</v>
      </c>
      <c r="C250" s="39" t="s">
        <v>12</v>
      </c>
      <c r="D250" s="38">
        <v>7680</v>
      </c>
      <c r="E250" s="38">
        <v>2577</v>
      </c>
      <c r="F250" s="38">
        <v>19793454</v>
      </c>
      <c r="G250" s="38">
        <v>1979346</v>
      </c>
      <c r="H250" s="38">
        <v>21772800</v>
      </c>
      <c r="I250" s="39" t="s">
        <v>89</v>
      </c>
      <c r="J250" s="39" t="s">
        <v>208</v>
      </c>
      <c r="K250" s="35" t="s">
        <v>247</v>
      </c>
    </row>
    <row r="251" spans="1:11" ht="20.100000000000001" customHeight="1" x14ac:dyDescent="0.35">
      <c r="A251" s="35" t="s">
        <v>507</v>
      </c>
      <c r="B251" s="44" t="s">
        <v>43</v>
      </c>
      <c r="C251" s="39" t="s">
        <v>12</v>
      </c>
      <c r="D251" s="38">
        <v>6936</v>
      </c>
      <c r="E251" s="38">
        <v>2577</v>
      </c>
      <c r="F251" s="38">
        <v>17875964</v>
      </c>
      <c r="G251" s="38">
        <v>1787596</v>
      </c>
      <c r="H251" s="38">
        <v>19663560</v>
      </c>
      <c r="I251" s="39" t="s">
        <v>89</v>
      </c>
      <c r="J251" s="39" t="s">
        <v>208</v>
      </c>
      <c r="K251" s="35" t="s">
        <v>247</v>
      </c>
    </row>
    <row r="252" spans="1:11" ht="20.100000000000001" customHeight="1" x14ac:dyDescent="0.35">
      <c r="A252" s="35" t="s">
        <v>508</v>
      </c>
      <c r="B252" s="44" t="s">
        <v>43</v>
      </c>
      <c r="C252" s="39" t="s">
        <v>12</v>
      </c>
      <c r="D252" s="38">
        <v>16</v>
      </c>
      <c r="E252" s="38">
        <v>4975</v>
      </c>
      <c r="F252" s="38">
        <v>79600</v>
      </c>
      <c r="G252" s="38">
        <v>0</v>
      </c>
      <c r="H252" s="38">
        <v>79600</v>
      </c>
      <c r="I252" s="39" t="s">
        <v>153</v>
      </c>
      <c r="J252" s="39" t="s">
        <v>202</v>
      </c>
      <c r="K252" s="35"/>
    </row>
    <row r="253" spans="1:11" ht="20.100000000000001" customHeight="1" x14ac:dyDescent="0.35">
      <c r="A253" s="35" t="s">
        <v>509</v>
      </c>
      <c r="B253" s="44" t="s">
        <v>43</v>
      </c>
      <c r="C253" s="39" t="s">
        <v>12</v>
      </c>
      <c r="D253" s="38">
        <v>216</v>
      </c>
      <c r="E253" s="38">
        <v>2577</v>
      </c>
      <c r="F253" s="38">
        <v>556691</v>
      </c>
      <c r="G253" s="38">
        <v>55669</v>
      </c>
      <c r="H253" s="38">
        <v>612360</v>
      </c>
      <c r="I253" s="39" t="s">
        <v>89</v>
      </c>
      <c r="J253" s="39" t="s">
        <v>110</v>
      </c>
      <c r="K253" s="35" t="s">
        <v>248</v>
      </c>
    </row>
    <row r="254" spans="1:11" ht="20.100000000000001" customHeight="1" x14ac:dyDescent="0.35">
      <c r="A254" s="35" t="s">
        <v>510</v>
      </c>
      <c r="B254" s="44" t="s">
        <v>43</v>
      </c>
      <c r="C254" s="39" t="s">
        <v>12</v>
      </c>
      <c r="D254" s="38">
        <v>216</v>
      </c>
      <c r="E254" s="38">
        <v>2577</v>
      </c>
      <c r="F254" s="38">
        <v>556690</v>
      </c>
      <c r="G254" s="38">
        <v>55670</v>
      </c>
      <c r="H254" s="38">
        <v>612360</v>
      </c>
      <c r="I254" s="39" t="s">
        <v>89</v>
      </c>
      <c r="J254" s="39" t="s">
        <v>245</v>
      </c>
      <c r="K254" s="35" t="s">
        <v>248</v>
      </c>
    </row>
    <row r="255" spans="1:11" ht="20.100000000000001" customHeight="1" x14ac:dyDescent="0.35">
      <c r="A255" s="35" t="s">
        <v>511</v>
      </c>
      <c r="B255" s="44" t="s">
        <v>43</v>
      </c>
      <c r="C255" s="39" t="s">
        <v>12</v>
      </c>
      <c r="D255" s="38">
        <v>860</v>
      </c>
      <c r="E255" s="38">
        <v>2577</v>
      </c>
      <c r="F255" s="38">
        <v>2216455</v>
      </c>
      <c r="G255" s="38">
        <v>221645</v>
      </c>
      <c r="H255" s="38">
        <v>2438100</v>
      </c>
      <c r="I255" s="39" t="s">
        <v>89</v>
      </c>
      <c r="J255" s="39" t="s">
        <v>110</v>
      </c>
      <c r="K255" s="35" t="s">
        <v>248</v>
      </c>
    </row>
    <row r="256" spans="1:11" ht="20.100000000000001" customHeight="1" x14ac:dyDescent="0.35">
      <c r="A256" s="35" t="s">
        <v>512</v>
      </c>
      <c r="B256" s="44" t="s">
        <v>43</v>
      </c>
      <c r="C256" s="39" t="s">
        <v>12</v>
      </c>
      <c r="D256" s="38">
        <v>860</v>
      </c>
      <c r="E256" s="38">
        <v>2577</v>
      </c>
      <c r="F256" s="38">
        <v>2216455</v>
      </c>
      <c r="G256" s="38">
        <v>221645</v>
      </c>
      <c r="H256" s="38">
        <v>2438100</v>
      </c>
      <c r="I256" s="39" t="s">
        <v>89</v>
      </c>
      <c r="J256" s="39" t="s">
        <v>110</v>
      </c>
      <c r="K256" s="35" t="s">
        <v>248</v>
      </c>
    </row>
    <row r="257" spans="1:11" ht="20.100000000000001" customHeight="1" x14ac:dyDescent="0.35">
      <c r="A257" s="35" t="s">
        <v>513</v>
      </c>
      <c r="B257" s="44" t="s">
        <v>43</v>
      </c>
      <c r="C257" s="39" t="s">
        <v>12</v>
      </c>
      <c r="D257" s="38">
        <v>860</v>
      </c>
      <c r="E257" s="38">
        <v>2577</v>
      </c>
      <c r="F257" s="38">
        <v>2216455</v>
      </c>
      <c r="G257" s="38">
        <v>221645</v>
      </c>
      <c r="H257" s="38">
        <v>2438100</v>
      </c>
      <c r="I257" s="39" t="s">
        <v>89</v>
      </c>
      <c r="J257" s="39" t="s">
        <v>110</v>
      </c>
      <c r="K257" s="35" t="s">
        <v>248</v>
      </c>
    </row>
    <row r="258" spans="1:11" ht="20.100000000000001" customHeight="1" x14ac:dyDescent="0.35">
      <c r="A258" s="35" t="s">
        <v>514</v>
      </c>
      <c r="B258" s="44" t="s">
        <v>43</v>
      </c>
      <c r="C258" s="39" t="s">
        <v>12</v>
      </c>
      <c r="D258" s="38">
        <v>1716</v>
      </c>
      <c r="E258" s="38">
        <v>2577</v>
      </c>
      <c r="F258" s="38">
        <v>4422600</v>
      </c>
      <c r="G258" s="38">
        <v>442260</v>
      </c>
      <c r="H258" s="38">
        <v>4864860</v>
      </c>
      <c r="I258" s="39" t="s">
        <v>89</v>
      </c>
      <c r="J258" s="39" t="s">
        <v>137</v>
      </c>
      <c r="K258" s="35" t="s">
        <v>249</v>
      </c>
    </row>
    <row r="259" spans="1:11" ht="20.100000000000001" customHeight="1" x14ac:dyDescent="0.35">
      <c r="A259" s="35" t="s">
        <v>515</v>
      </c>
      <c r="B259" s="44" t="s">
        <v>43</v>
      </c>
      <c r="C259" s="39" t="s">
        <v>12</v>
      </c>
      <c r="D259" s="38">
        <v>19776</v>
      </c>
      <c r="E259" s="38">
        <v>2577</v>
      </c>
      <c r="F259" s="38">
        <v>50968146</v>
      </c>
      <c r="G259" s="38">
        <v>5096814</v>
      </c>
      <c r="H259" s="38">
        <v>56064960</v>
      </c>
      <c r="I259" s="39" t="s">
        <v>89</v>
      </c>
      <c r="J259" s="39" t="s">
        <v>132</v>
      </c>
      <c r="K259" s="35" t="s">
        <v>249</v>
      </c>
    </row>
    <row r="260" spans="1:11" ht="20.100000000000001" customHeight="1" x14ac:dyDescent="0.35">
      <c r="A260" s="35" t="s">
        <v>516</v>
      </c>
      <c r="B260" s="44" t="s">
        <v>43</v>
      </c>
      <c r="C260" s="39" t="s">
        <v>12</v>
      </c>
      <c r="D260" s="38">
        <v>852</v>
      </c>
      <c r="E260" s="38">
        <v>2577</v>
      </c>
      <c r="F260" s="38">
        <v>2195837</v>
      </c>
      <c r="G260" s="38">
        <v>219583</v>
      </c>
      <c r="H260" s="38">
        <v>2415420</v>
      </c>
      <c r="I260" s="39" t="s">
        <v>89</v>
      </c>
      <c r="J260" s="39" t="s">
        <v>222</v>
      </c>
      <c r="K260" s="35" t="s">
        <v>250</v>
      </c>
    </row>
    <row r="261" spans="1:11" ht="20.100000000000001" customHeight="1" x14ac:dyDescent="0.35">
      <c r="A261" s="35" t="s">
        <v>517</v>
      </c>
      <c r="B261" s="44" t="s">
        <v>43</v>
      </c>
      <c r="C261" s="39" t="s">
        <v>12</v>
      </c>
      <c r="D261" s="38">
        <v>300</v>
      </c>
      <c r="E261" s="38">
        <v>2850</v>
      </c>
      <c r="F261" s="38">
        <v>855000</v>
      </c>
      <c r="G261" s="38">
        <v>85500</v>
      </c>
      <c r="H261" s="38">
        <v>940500</v>
      </c>
      <c r="I261" s="39" t="s">
        <v>177</v>
      </c>
      <c r="J261" s="39" t="s">
        <v>251</v>
      </c>
      <c r="K261" s="35" t="s">
        <v>237</v>
      </c>
    </row>
    <row r="262" spans="1:11" ht="20.100000000000001" customHeight="1" x14ac:dyDescent="0.35">
      <c r="A262" s="35" t="s">
        <v>517</v>
      </c>
      <c r="B262" s="44" t="s">
        <v>43</v>
      </c>
      <c r="C262" s="39" t="s">
        <v>12</v>
      </c>
      <c r="D262" s="38">
        <v>300</v>
      </c>
      <c r="E262" s="38">
        <v>2850</v>
      </c>
      <c r="F262" s="38">
        <v>855000</v>
      </c>
      <c r="G262" s="38">
        <v>85500</v>
      </c>
      <c r="H262" s="38">
        <v>940500</v>
      </c>
      <c r="I262" s="39" t="s">
        <v>177</v>
      </c>
      <c r="J262" s="39" t="s">
        <v>252</v>
      </c>
      <c r="K262" s="35" t="s">
        <v>237</v>
      </c>
    </row>
    <row r="263" spans="1:11" ht="20.100000000000001" customHeight="1" x14ac:dyDescent="0.35">
      <c r="A263" s="35" t="s">
        <v>518</v>
      </c>
      <c r="B263" s="44" t="s">
        <v>43</v>
      </c>
      <c r="C263" s="39" t="s">
        <v>12</v>
      </c>
      <c r="D263" s="38">
        <v>8</v>
      </c>
      <c r="E263" s="38">
        <v>4975</v>
      </c>
      <c r="F263" s="38">
        <v>39800</v>
      </c>
      <c r="G263" s="38">
        <v>0</v>
      </c>
      <c r="H263" s="38">
        <v>39800</v>
      </c>
      <c r="I263" s="39" t="s">
        <v>153</v>
      </c>
      <c r="J263" s="39" t="s">
        <v>159</v>
      </c>
      <c r="K263" s="35"/>
    </row>
    <row r="264" spans="1:11" ht="20.100000000000001" customHeight="1" x14ac:dyDescent="0.35">
      <c r="A264" s="35" t="s">
        <v>519</v>
      </c>
      <c r="B264" s="44" t="s">
        <v>43</v>
      </c>
      <c r="C264" s="39" t="s">
        <v>12</v>
      </c>
      <c r="D264" s="38">
        <v>600</v>
      </c>
      <c r="E264" s="38">
        <v>2850</v>
      </c>
      <c r="F264" s="38">
        <v>1710000</v>
      </c>
      <c r="G264" s="38">
        <v>171000</v>
      </c>
      <c r="H264" s="38">
        <v>1881000</v>
      </c>
      <c r="I264" s="39" t="s">
        <v>177</v>
      </c>
      <c r="J264" s="39" t="s">
        <v>253</v>
      </c>
      <c r="K264" s="35" t="s">
        <v>237</v>
      </c>
    </row>
    <row r="265" spans="1:11" ht="20.100000000000001" customHeight="1" x14ac:dyDescent="0.35">
      <c r="A265" s="35" t="s">
        <v>520</v>
      </c>
      <c r="B265" s="44" t="s">
        <v>43</v>
      </c>
      <c r="C265" s="39" t="s">
        <v>12</v>
      </c>
      <c r="D265" s="38">
        <v>4296</v>
      </c>
      <c r="E265" s="38">
        <v>2577</v>
      </c>
      <c r="F265" s="38">
        <v>11071964</v>
      </c>
      <c r="G265" s="38">
        <v>1107196</v>
      </c>
      <c r="H265" s="38">
        <v>12179160</v>
      </c>
      <c r="I265" s="39" t="s">
        <v>89</v>
      </c>
      <c r="J265" s="39" t="s">
        <v>208</v>
      </c>
      <c r="K265" s="35" t="s">
        <v>254</v>
      </c>
    </row>
    <row r="266" spans="1:11" ht="20.100000000000001" customHeight="1" x14ac:dyDescent="0.35">
      <c r="A266" s="35" t="s">
        <v>521</v>
      </c>
      <c r="B266" s="44" t="s">
        <v>43</v>
      </c>
      <c r="C266" s="39" t="s">
        <v>12</v>
      </c>
      <c r="D266" s="38">
        <v>48</v>
      </c>
      <c r="E266" s="38">
        <v>3000</v>
      </c>
      <c r="F266" s="38">
        <v>144000</v>
      </c>
      <c r="G266" s="38">
        <v>14400</v>
      </c>
      <c r="H266" s="38">
        <v>158400</v>
      </c>
      <c r="I266" s="39" t="s">
        <v>255</v>
      </c>
      <c r="J266" s="39"/>
      <c r="K266" s="35" t="s">
        <v>256</v>
      </c>
    </row>
    <row r="267" spans="1:11" ht="20.100000000000001" customHeight="1" x14ac:dyDescent="0.35">
      <c r="A267" s="35" t="s">
        <v>522</v>
      </c>
      <c r="B267" s="44" t="s">
        <v>43</v>
      </c>
      <c r="C267" s="39" t="s">
        <v>12</v>
      </c>
      <c r="D267" s="38">
        <v>4</v>
      </c>
      <c r="E267" s="38">
        <v>2577</v>
      </c>
      <c r="F267" s="38">
        <v>10309</v>
      </c>
      <c r="G267" s="38">
        <v>1031</v>
      </c>
      <c r="H267" s="38">
        <v>11340</v>
      </c>
      <c r="I267" s="39" t="s">
        <v>89</v>
      </c>
      <c r="J267" s="39" t="s">
        <v>150</v>
      </c>
      <c r="K267" s="35" t="s">
        <v>257</v>
      </c>
    </row>
    <row r="268" spans="1:11" ht="20.100000000000001" customHeight="1" x14ac:dyDescent="0.35">
      <c r="A268" s="35" t="s">
        <v>523</v>
      </c>
      <c r="B268" s="44" t="s">
        <v>43</v>
      </c>
      <c r="C268" s="39" t="s">
        <v>12</v>
      </c>
      <c r="D268" s="38">
        <v>12</v>
      </c>
      <c r="E268" s="38">
        <v>3500</v>
      </c>
      <c r="F268" s="38">
        <v>42000</v>
      </c>
      <c r="G268" s="38">
        <v>4200</v>
      </c>
      <c r="H268" s="38">
        <v>46200</v>
      </c>
      <c r="I268" s="39" t="s">
        <v>226</v>
      </c>
      <c r="J268" s="39"/>
      <c r="K268" s="35" t="s">
        <v>237</v>
      </c>
    </row>
    <row r="269" spans="1:11" ht="20.100000000000001" customHeight="1" x14ac:dyDescent="0.35">
      <c r="A269" s="35" t="s">
        <v>524</v>
      </c>
      <c r="B269" s="44" t="s">
        <v>43</v>
      </c>
      <c r="C269" s="39" t="s">
        <v>12</v>
      </c>
      <c r="D269" s="38">
        <v>8</v>
      </c>
      <c r="E269" s="38">
        <v>4975</v>
      </c>
      <c r="F269" s="38">
        <v>39800</v>
      </c>
      <c r="G269" s="38">
        <v>0</v>
      </c>
      <c r="H269" s="38">
        <v>39800</v>
      </c>
      <c r="I269" s="39" t="s">
        <v>153</v>
      </c>
      <c r="J269" s="39" t="s">
        <v>159</v>
      </c>
      <c r="K269" s="35"/>
    </row>
    <row r="270" spans="1:11" ht="20.100000000000001" customHeight="1" x14ac:dyDescent="0.35">
      <c r="A270" s="35" t="s">
        <v>525</v>
      </c>
      <c r="B270" s="44" t="s">
        <v>43</v>
      </c>
      <c r="C270" s="39" t="s">
        <v>12</v>
      </c>
      <c r="D270" s="38">
        <v>34320</v>
      </c>
      <c r="E270" s="38">
        <v>2577</v>
      </c>
      <c r="F270" s="38">
        <v>88452000</v>
      </c>
      <c r="G270" s="38">
        <v>8845200</v>
      </c>
      <c r="H270" s="38">
        <v>97297200</v>
      </c>
      <c r="I270" s="39" t="s">
        <v>89</v>
      </c>
      <c r="J270" s="39" t="s">
        <v>145</v>
      </c>
      <c r="K270" s="35" t="s">
        <v>258</v>
      </c>
    </row>
    <row r="271" spans="1:11" ht="20.100000000000001" customHeight="1" x14ac:dyDescent="0.35">
      <c r="A271" s="35" t="s">
        <v>526</v>
      </c>
      <c r="B271" s="44" t="s">
        <v>43</v>
      </c>
      <c r="C271" s="39" t="s">
        <v>12</v>
      </c>
      <c r="D271" s="38">
        <v>852</v>
      </c>
      <c r="E271" s="38">
        <v>2577</v>
      </c>
      <c r="F271" s="38">
        <v>2195837</v>
      </c>
      <c r="G271" s="38">
        <v>219583</v>
      </c>
      <c r="H271" s="38">
        <v>2415420</v>
      </c>
      <c r="I271" s="39" t="s">
        <v>89</v>
      </c>
      <c r="J271" s="39" t="s">
        <v>214</v>
      </c>
      <c r="K271" s="35" t="s">
        <v>259</v>
      </c>
    </row>
    <row r="272" spans="1:11" ht="20.100000000000001" customHeight="1" x14ac:dyDescent="0.35">
      <c r="A272" s="35" t="s">
        <v>527</v>
      </c>
      <c r="B272" s="44" t="s">
        <v>43</v>
      </c>
      <c r="C272" s="39" t="s">
        <v>12</v>
      </c>
      <c r="D272" s="38">
        <v>250</v>
      </c>
      <c r="E272" s="38">
        <v>2577</v>
      </c>
      <c r="F272" s="38">
        <v>644318</v>
      </c>
      <c r="G272" s="38">
        <v>64432</v>
      </c>
      <c r="H272" s="38">
        <v>708750</v>
      </c>
      <c r="I272" s="39" t="s">
        <v>89</v>
      </c>
      <c r="J272" s="39" t="s">
        <v>137</v>
      </c>
      <c r="K272" s="35" t="s">
        <v>260</v>
      </c>
    </row>
    <row r="273" spans="1:11" ht="20.100000000000001" customHeight="1" x14ac:dyDescent="0.35">
      <c r="A273" s="35" t="s">
        <v>528</v>
      </c>
      <c r="B273" s="44" t="s">
        <v>43</v>
      </c>
      <c r="C273" s="39" t="s">
        <v>12</v>
      </c>
      <c r="D273" s="38">
        <v>146</v>
      </c>
      <c r="E273" s="38">
        <v>2577</v>
      </c>
      <c r="F273" s="38">
        <v>376282</v>
      </c>
      <c r="G273" s="38">
        <v>37628</v>
      </c>
      <c r="H273" s="38">
        <v>413910</v>
      </c>
      <c r="I273" s="39" t="s">
        <v>89</v>
      </c>
      <c r="J273" s="39" t="s">
        <v>137</v>
      </c>
      <c r="K273" s="35" t="s">
        <v>260</v>
      </c>
    </row>
    <row r="274" spans="1:11" ht="20.100000000000001" customHeight="1" x14ac:dyDescent="0.35">
      <c r="A274" s="35" t="s">
        <v>529</v>
      </c>
      <c r="B274" s="44" t="s">
        <v>43</v>
      </c>
      <c r="C274" s="39" t="s">
        <v>12</v>
      </c>
      <c r="D274" s="38">
        <v>288</v>
      </c>
      <c r="E274" s="38">
        <v>2577</v>
      </c>
      <c r="F274" s="38">
        <v>742255</v>
      </c>
      <c r="G274" s="38">
        <v>74225</v>
      </c>
      <c r="H274" s="38">
        <v>816480</v>
      </c>
      <c r="I274" s="39" t="s">
        <v>89</v>
      </c>
      <c r="J274" s="39" t="s">
        <v>139</v>
      </c>
      <c r="K274" s="35" t="s">
        <v>258</v>
      </c>
    </row>
    <row r="275" spans="1:11" ht="20.100000000000001" customHeight="1" x14ac:dyDescent="0.35">
      <c r="A275" s="35" t="s">
        <v>530</v>
      </c>
      <c r="B275" s="44" t="s">
        <v>43</v>
      </c>
      <c r="C275" s="39" t="s">
        <v>12</v>
      </c>
      <c r="D275" s="38">
        <v>8</v>
      </c>
      <c r="E275" s="38">
        <v>4975</v>
      </c>
      <c r="F275" s="38">
        <v>39800</v>
      </c>
      <c r="G275" s="38">
        <v>0</v>
      </c>
      <c r="H275" s="38">
        <v>39800</v>
      </c>
      <c r="I275" s="39" t="s">
        <v>153</v>
      </c>
      <c r="J275" s="39" t="s">
        <v>159</v>
      </c>
      <c r="K275" s="35"/>
    </row>
    <row r="276" spans="1:11" ht="20.100000000000001" customHeight="1" x14ac:dyDescent="0.35">
      <c r="A276" s="35" t="s">
        <v>531</v>
      </c>
      <c r="B276" s="44" t="s">
        <v>43</v>
      </c>
      <c r="C276" s="39" t="s">
        <v>12</v>
      </c>
      <c r="D276" s="38">
        <v>16</v>
      </c>
      <c r="E276" s="38">
        <v>4975</v>
      </c>
      <c r="F276" s="38">
        <v>79600</v>
      </c>
      <c r="G276" s="38">
        <v>0</v>
      </c>
      <c r="H276" s="38">
        <v>79600</v>
      </c>
      <c r="I276" s="39" t="s">
        <v>153</v>
      </c>
      <c r="J276" s="39" t="s">
        <v>202</v>
      </c>
      <c r="K276" s="35"/>
    </row>
    <row r="277" spans="1:11" ht="20.100000000000001" customHeight="1" x14ac:dyDescent="0.35">
      <c r="A277" s="35" t="s">
        <v>532</v>
      </c>
      <c r="B277" s="44" t="s">
        <v>43</v>
      </c>
      <c r="C277" s="39" t="s">
        <v>12</v>
      </c>
      <c r="D277" s="38">
        <v>276</v>
      </c>
      <c r="E277" s="38">
        <v>2577</v>
      </c>
      <c r="F277" s="38">
        <v>711327</v>
      </c>
      <c r="G277" s="38">
        <v>71133</v>
      </c>
      <c r="H277" s="38">
        <v>782460</v>
      </c>
      <c r="I277" s="39" t="s">
        <v>89</v>
      </c>
      <c r="J277" s="39" t="s">
        <v>110</v>
      </c>
      <c r="K277" s="35" t="s">
        <v>261</v>
      </c>
    </row>
    <row r="278" spans="1:11" ht="20.100000000000001" customHeight="1" x14ac:dyDescent="0.35">
      <c r="A278" s="35" t="s">
        <v>533</v>
      </c>
      <c r="B278" s="44" t="s">
        <v>43</v>
      </c>
      <c r="C278" s="39" t="s">
        <v>12</v>
      </c>
      <c r="D278" s="38">
        <v>1440</v>
      </c>
      <c r="E278" s="38">
        <v>2577</v>
      </c>
      <c r="F278" s="38">
        <v>3711272</v>
      </c>
      <c r="G278" s="38">
        <v>371128</v>
      </c>
      <c r="H278" s="38">
        <v>4082400</v>
      </c>
      <c r="I278" s="39" t="s">
        <v>89</v>
      </c>
      <c r="J278" s="39" t="s">
        <v>139</v>
      </c>
      <c r="K278" s="35" t="s">
        <v>262</v>
      </c>
    </row>
    <row r="279" spans="1:11" ht="20.100000000000001" customHeight="1" x14ac:dyDescent="0.35">
      <c r="A279" s="35" t="s">
        <v>534</v>
      </c>
      <c r="B279" s="44" t="s">
        <v>43</v>
      </c>
      <c r="C279" s="39" t="s">
        <v>12</v>
      </c>
      <c r="D279" s="38">
        <v>11940</v>
      </c>
      <c r="E279" s="38">
        <v>2577</v>
      </c>
      <c r="F279" s="38">
        <v>30772636</v>
      </c>
      <c r="G279" s="38">
        <v>3077264</v>
      </c>
      <c r="H279" s="38">
        <v>33849900</v>
      </c>
      <c r="I279" s="39" t="s">
        <v>89</v>
      </c>
      <c r="J279" s="39" t="s">
        <v>139</v>
      </c>
      <c r="K279" s="35" t="s">
        <v>261</v>
      </c>
    </row>
    <row r="280" spans="1:11" ht="20.100000000000001" customHeight="1" x14ac:dyDescent="0.35">
      <c r="A280" s="35" t="s">
        <v>535</v>
      </c>
      <c r="B280" s="44" t="s">
        <v>43</v>
      </c>
      <c r="C280" s="39" t="s">
        <v>12</v>
      </c>
      <c r="D280" s="38">
        <v>480</v>
      </c>
      <c r="E280" s="38">
        <v>2577</v>
      </c>
      <c r="F280" s="38">
        <v>1237091</v>
      </c>
      <c r="G280" s="38">
        <v>123709</v>
      </c>
      <c r="H280" s="38">
        <v>1360800</v>
      </c>
      <c r="I280" s="39" t="s">
        <v>89</v>
      </c>
      <c r="J280" s="39" t="s">
        <v>139</v>
      </c>
      <c r="K280" s="35" t="s">
        <v>237</v>
      </c>
    </row>
    <row r="281" spans="1:11" ht="20.100000000000001" customHeight="1" x14ac:dyDescent="0.35">
      <c r="A281" s="35" t="s">
        <v>536</v>
      </c>
      <c r="B281" s="44" t="s">
        <v>43</v>
      </c>
      <c r="C281" s="39" t="s">
        <v>12</v>
      </c>
      <c r="D281" s="38">
        <v>15948</v>
      </c>
      <c r="E281" s="38">
        <v>0</v>
      </c>
      <c r="F281" s="38">
        <v>0</v>
      </c>
      <c r="G281" s="38">
        <v>0</v>
      </c>
      <c r="H281" s="38">
        <v>0</v>
      </c>
      <c r="I281" s="39" t="s">
        <v>209</v>
      </c>
      <c r="J281" s="39" t="s">
        <v>263</v>
      </c>
      <c r="K281" s="35"/>
    </row>
    <row r="282" spans="1:11" ht="20.100000000000001" customHeight="1" x14ac:dyDescent="0.35">
      <c r="A282" s="54" t="s">
        <v>73</v>
      </c>
      <c r="B282" s="55"/>
      <c r="C282" s="56"/>
      <c r="D282" s="41">
        <f>SUM(D217:D281)</f>
        <v>159834</v>
      </c>
      <c r="E282" s="41">
        <f t="shared" ref="E282:H282" si="4">SUM(E217:E281)</f>
        <v>213246</v>
      </c>
      <c r="F282" s="41">
        <f t="shared" si="4"/>
        <v>375811346</v>
      </c>
      <c r="G282" s="41">
        <f t="shared" si="4"/>
        <v>36661750</v>
      </c>
      <c r="H282" s="41">
        <f t="shared" si="4"/>
        <v>412473096</v>
      </c>
      <c r="I282" s="42"/>
      <c r="J282" s="42"/>
      <c r="K282" s="43"/>
    </row>
    <row r="283" spans="1:11" ht="20.100000000000001" customHeight="1" x14ac:dyDescent="0.35">
      <c r="A283" s="35" t="s">
        <v>537</v>
      </c>
      <c r="B283" s="44" t="s">
        <v>43</v>
      </c>
      <c r="C283" s="39" t="s">
        <v>12</v>
      </c>
      <c r="D283" s="38">
        <v>24</v>
      </c>
      <c r="E283" s="38">
        <v>4975</v>
      </c>
      <c r="F283" s="38">
        <v>119400</v>
      </c>
      <c r="G283" s="38">
        <v>0</v>
      </c>
      <c r="H283" s="38">
        <v>119400</v>
      </c>
      <c r="I283" s="39" t="s">
        <v>153</v>
      </c>
      <c r="J283" s="39" t="s">
        <v>155</v>
      </c>
      <c r="K283" s="35"/>
    </row>
    <row r="284" spans="1:11" ht="20.100000000000001" customHeight="1" x14ac:dyDescent="0.35">
      <c r="A284" s="35" t="s">
        <v>538</v>
      </c>
      <c r="B284" s="36" t="s">
        <v>45</v>
      </c>
      <c r="C284" s="37" t="s">
        <v>15</v>
      </c>
      <c r="D284" s="38">
        <v>736</v>
      </c>
      <c r="E284" s="38">
        <v>3150</v>
      </c>
      <c r="F284" s="38">
        <v>2319975</v>
      </c>
      <c r="G284" s="38">
        <v>231998</v>
      </c>
      <c r="H284" s="38">
        <v>2551973</v>
      </c>
      <c r="I284" s="39" t="s">
        <v>174</v>
      </c>
      <c r="J284" s="39" t="s">
        <v>219</v>
      </c>
      <c r="K284" s="35" t="s">
        <v>264</v>
      </c>
    </row>
    <row r="285" spans="1:11" ht="20.100000000000001" customHeight="1" x14ac:dyDescent="0.35">
      <c r="A285" s="35" t="s">
        <v>539</v>
      </c>
      <c r="B285" s="44" t="s">
        <v>43</v>
      </c>
      <c r="C285" s="39" t="s">
        <v>12</v>
      </c>
      <c r="D285" s="38">
        <v>100</v>
      </c>
      <c r="E285" s="38">
        <v>2850</v>
      </c>
      <c r="F285" s="38">
        <v>285000</v>
      </c>
      <c r="G285" s="38">
        <v>28500</v>
      </c>
      <c r="H285" s="38">
        <v>313500</v>
      </c>
      <c r="I285" s="39" t="s">
        <v>177</v>
      </c>
      <c r="J285" s="39" t="s">
        <v>265</v>
      </c>
      <c r="K285" s="35" t="s">
        <v>266</v>
      </c>
    </row>
    <row r="286" spans="1:11" ht="20.100000000000001" customHeight="1" x14ac:dyDescent="0.35">
      <c r="A286" s="35" t="s">
        <v>539</v>
      </c>
      <c r="B286" s="44" t="s">
        <v>43</v>
      </c>
      <c r="C286" s="39" t="s">
        <v>12</v>
      </c>
      <c r="D286" s="38">
        <v>324</v>
      </c>
      <c r="E286" s="38">
        <v>2850</v>
      </c>
      <c r="F286" s="38">
        <v>923400</v>
      </c>
      <c r="G286" s="38">
        <v>92340</v>
      </c>
      <c r="H286" s="38">
        <v>1015740</v>
      </c>
      <c r="I286" s="39" t="s">
        <v>177</v>
      </c>
      <c r="J286" s="39" t="s">
        <v>238</v>
      </c>
      <c r="K286" s="35" t="s">
        <v>266</v>
      </c>
    </row>
    <row r="287" spans="1:11" ht="20.100000000000001" customHeight="1" x14ac:dyDescent="0.35">
      <c r="A287" s="35" t="s">
        <v>540</v>
      </c>
      <c r="B287" s="44" t="s">
        <v>43</v>
      </c>
      <c r="C287" s="39" t="s">
        <v>12</v>
      </c>
      <c r="D287" s="38">
        <v>24</v>
      </c>
      <c r="E287" s="38">
        <v>4975</v>
      </c>
      <c r="F287" s="38">
        <v>119400</v>
      </c>
      <c r="G287" s="38">
        <v>0</v>
      </c>
      <c r="H287" s="38">
        <v>119400</v>
      </c>
      <c r="I287" s="39" t="s">
        <v>153</v>
      </c>
      <c r="J287" s="39" t="s">
        <v>155</v>
      </c>
      <c r="K287" s="35"/>
    </row>
    <row r="288" spans="1:11" ht="20.100000000000001" customHeight="1" x14ac:dyDescent="0.35">
      <c r="A288" s="35" t="s">
        <v>541</v>
      </c>
      <c r="B288" s="44" t="s">
        <v>43</v>
      </c>
      <c r="C288" s="39" t="s">
        <v>12</v>
      </c>
      <c r="D288" s="38">
        <v>48</v>
      </c>
      <c r="E288" s="38">
        <v>2577</v>
      </c>
      <c r="F288" s="38">
        <v>123710</v>
      </c>
      <c r="G288" s="38">
        <v>12370</v>
      </c>
      <c r="H288" s="38">
        <v>136080</v>
      </c>
      <c r="I288" s="39" t="s">
        <v>89</v>
      </c>
      <c r="J288" s="39" t="s">
        <v>140</v>
      </c>
      <c r="K288" s="35" t="s">
        <v>267</v>
      </c>
    </row>
    <row r="289" spans="1:11" ht="20.100000000000001" customHeight="1" x14ac:dyDescent="0.35">
      <c r="A289" s="35" t="s">
        <v>542</v>
      </c>
      <c r="B289" s="44" t="s">
        <v>43</v>
      </c>
      <c r="C289" s="39" t="s">
        <v>12</v>
      </c>
      <c r="D289" s="38">
        <v>1140</v>
      </c>
      <c r="E289" s="38">
        <v>2577</v>
      </c>
      <c r="F289" s="38">
        <v>2938091</v>
      </c>
      <c r="G289" s="38">
        <v>293809</v>
      </c>
      <c r="H289" s="38">
        <v>3231900</v>
      </c>
      <c r="I289" s="39" t="s">
        <v>89</v>
      </c>
      <c r="J289" s="39" t="s">
        <v>132</v>
      </c>
      <c r="K289" s="35" t="s">
        <v>268</v>
      </c>
    </row>
    <row r="290" spans="1:11" ht="20.100000000000001" customHeight="1" x14ac:dyDescent="0.35">
      <c r="A290" s="35" t="s">
        <v>543</v>
      </c>
      <c r="B290" s="44" t="s">
        <v>43</v>
      </c>
      <c r="C290" s="39" t="s">
        <v>12</v>
      </c>
      <c r="D290" s="38">
        <v>48</v>
      </c>
      <c r="E290" s="38">
        <v>2577</v>
      </c>
      <c r="F290" s="38">
        <v>123709</v>
      </c>
      <c r="G290" s="38">
        <v>12371</v>
      </c>
      <c r="H290" s="38">
        <v>136080</v>
      </c>
      <c r="I290" s="39" t="s">
        <v>89</v>
      </c>
      <c r="J290" s="39" t="s">
        <v>140</v>
      </c>
      <c r="K290" s="35" t="s">
        <v>268</v>
      </c>
    </row>
    <row r="291" spans="1:11" ht="20.100000000000001" customHeight="1" x14ac:dyDescent="0.35">
      <c r="A291" s="35" t="s">
        <v>544</v>
      </c>
      <c r="B291" s="44" t="s">
        <v>43</v>
      </c>
      <c r="C291" s="39" t="s">
        <v>12</v>
      </c>
      <c r="D291" s="38">
        <v>8760</v>
      </c>
      <c r="E291" s="38">
        <v>2577</v>
      </c>
      <c r="F291" s="38">
        <v>22576909</v>
      </c>
      <c r="G291" s="38">
        <v>2257691</v>
      </c>
      <c r="H291" s="38">
        <v>24834600</v>
      </c>
      <c r="I291" s="39" t="s">
        <v>89</v>
      </c>
      <c r="J291" s="39" t="s">
        <v>132</v>
      </c>
      <c r="K291" s="35" t="s">
        <v>269</v>
      </c>
    </row>
    <row r="292" spans="1:11" ht="20.100000000000001" customHeight="1" x14ac:dyDescent="0.35">
      <c r="A292" s="35" t="s">
        <v>545</v>
      </c>
      <c r="B292" s="44" t="s">
        <v>43</v>
      </c>
      <c r="C292" s="39" t="s">
        <v>12</v>
      </c>
      <c r="D292" s="38">
        <v>240</v>
      </c>
      <c r="E292" s="38">
        <v>2850</v>
      </c>
      <c r="F292" s="38">
        <v>684000</v>
      </c>
      <c r="G292" s="38">
        <v>68400</v>
      </c>
      <c r="H292" s="38">
        <v>752400</v>
      </c>
      <c r="I292" s="39" t="s">
        <v>177</v>
      </c>
      <c r="J292" s="39" t="s">
        <v>270</v>
      </c>
      <c r="K292" s="35" t="s">
        <v>266</v>
      </c>
    </row>
    <row r="293" spans="1:11" ht="20.100000000000001" customHeight="1" x14ac:dyDescent="0.35">
      <c r="A293" s="35" t="s">
        <v>546</v>
      </c>
      <c r="B293" s="44" t="s">
        <v>43</v>
      </c>
      <c r="C293" s="39" t="s">
        <v>12</v>
      </c>
      <c r="D293" s="38">
        <v>8</v>
      </c>
      <c r="E293" s="38">
        <v>4975</v>
      </c>
      <c r="F293" s="38">
        <v>39800</v>
      </c>
      <c r="G293" s="38">
        <v>0</v>
      </c>
      <c r="H293" s="38">
        <v>39800</v>
      </c>
      <c r="I293" s="39" t="s">
        <v>153</v>
      </c>
      <c r="J293" s="39" t="s">
        <v>159</v>
      </c>
      <c r="K293" s="35"/>
    </row>
    <row r="294" spans="1:11" ht="20.100000000000001" customHeight="1" x14ac:dyDescent="0.35">
      <c r="A294" s="35" t="s">
        <v>547</v>
      </c>
      <c r="B294" s="44" t="s">
        <v>43</v>
      </c>
      <c r="C294" s="39" t="s">
        <v>12</v>
      </c>
      <c r="D294" s="38">
        <v>24</v>
      </c>
      <c r="E294" s="38">
        <v>4975</v>
      </c>
      <c r="F294" s="38">
        <v>119400</v>
      </c>
      <c r="G294" s="38">
        <v>0</v>
      </c>
      <c r="H294" s="38">
        <v>119400</v>
      </c>
      <c r="I294" s="39" t="s">
        <v>153</v>
      </c>
      <c r="J294" s="39" t="s">
        <v>159</v>
      </c>
      <c r="K294" s="35"/>
    </row>
    <row r="295" spans="1:11" ht="20.100000000000001" customHeight="1" x14ac:dyDescent="0.35">
      <c r="A295" s="35" t="s">
        <v>548</v>
      </c>
      <c r="B295" s="44" t="s">
        <v>43</v>
      </c>
      <c r="C295" s="39" t="s">
        <v>12</v>
      </c>
      <c r="D295" s="38">
        <v>8</v>
      </c>
      <c r="E295" s="38">
        <v>4975</v>
      </c>
      <c r="F295" s="38">
        <v>39800</v>
      </c>
      <c r="G295" s="38">
        <v>0</v>
      </c>
      <c r="H295" s="38">
        <v>39800</v>
      </c>
      <c r="I295" s="39" t="s">
        <v>153</v>
      </c>
      <c r="J295" s="39" t="s">
        <v>159</v>
      </c>
      <c r="K295" s="35"/>
    </row>
    <row r="296" spans="1:11" ht="20.100000000000001" customHeight="1" x14ac:dyDescent="0.35">
      <c r="A296" s="35" t="s">
        <v>549</v>
      </c>
      <c r="B296" s="44" t="s">
        <v>43</v>
      </c>
      <c r="C296" s="39" t="s">
        <v>12</v>
      </c>
      <c r="D296" s="38">
        <v>60</v>
      </c>
      <c r="E296" s="38">
        <v>0</v>
      </c>
      <c r="F296" s="38">
        <v>0</v>
      </c>
      <c r="G296" s="38">
        <v>0</v>
      </c>
      <c r="H296" s="38">
        <v>0</v>
      </c>
      <c r="I296" s="39" t="s">
        <v>209</v>
      </c>
      <c r="J296" s="39" t="s">
        <v>271</v>
      </c>
      <c r="K296" s="35"/>
    </row>
    <row r="297" spans="1:11" ht="20.100000000000001" customHeight="1" x14ac:dyDescent="0.35">
      <c r="A297" s="54" t="s">
        <v>550</v>
      </c>
      <c r="B297" s="55"/>
      <c r="C297" s="56"/>
      <c r="D297" s="41">
        <f>SUM(D283:D296)</f>
        <v>11544</v>
      </c>
      <c r="E297" s="41">
        <f t="shared" ref="E297:H297" si="5">SUM(E283:E296)</f>
        <v>46883</v>
      </c>
      <c r="F297" s="41">
        <f t="shared" si="5"/>
        <v>30412594</v>
      </c>
      <c r="G297" s="41">
        <f t="shared" si="5"/>
        <v>2997479</v>
      </c>
      <c r="H297" s="41">
        <f t="shared" si="5"/>
        <v>33410073</v>
      </c>
      <c r="I297" s="42"/>
      <c r="J297" s="42"/>
      <c r="K297" s="43"/>
    </row>
    <row r="298" spans="1:11" ht="20.100000000000001" customHeight="1" x14ac:dyDescent="0.35">
      <c r="A298" s="35" t="s">
        <v>551</v>
      </c>
      <c r="B298" s="44" t="s">
        <v>43</v>
      </c>
      <c r="C298" s="39" t="s">
        <v>12</v>
      </c>
      <c r="D298" s="38">
        <v>8</v>
      </c>
      <c r="E298" s="38">
        <v>4975</v>
      </c>
      <c r="F298" s="38">
        <v>39800</v>
      </c>
      <c r="G298" s="38">
        <v>0</v>
      </c>
      <c r="H298" s="38">
        <v>39800</v>
      </c>
      <c r="I298" s="39" t="s">
        <v>153</v>
      </c>
      <c r="J298" s="39" t="s">
        <v>159</v>
      </c>
      <c r="K298" s="35"/>
    </row>
    <row r="299" spans="1:11" ht="20.100000000000001" customHeight="1" x14ac:dyDescent="0.35">
      <c r="A299" s="35" t="s">
        <v>552</v>
      </c>
      <c r="B299" s="44" t="s">
        <v>43</v>
      </c>
      <c r="C299" s="39" t="s">
        <v>12</v>
      </c>
      <c r="D299" s="38">
        <v>324</v>
      </c>
      <c r="E299" s="38">
        <v>2577</v>
      </c>
      <c r="F299" s="38">
        <v>835037</v>
      </c>
      <c r="G299" s="38">
        <v>83503</v>
      </c>
      <c r="H299" s="38">
        <v>918540</v>
      </c>
      <c r="I299" s="39" t="s">
        <v>89</v>
      </c>
      <c r="J299" s="39" t="s">
        <v>222</v>
      </c>
      <c r="K299" s="35" t="s">
        <v>272</v>
      </c>
    </row>
    <row r="300" spans="1:11" ht="20.100000000000001" customHeight="1" x14ac:dyDescent="0.35">
      <c r="A300" s="35" t="s">
        <v>553</v>
      </c>
      <c r="B300" s="44" t="s">
        <v>43</v>
      </c>
      <c r="C300" s="39" t="s">
        <v>12</v>
      </c>
      <c r="D300" s="38">
        <v>324</v>
      </c>
      <c r="E300" s="38">
        <v>2577</v>
      </c>
      <c r="F300" s="38">
        <v>835037</v>
      </c>
      <c r="G300" s="38">
        <v>83503</v>
      </c>
      <c r="H300" s="38">
        <v>918540</v>
      </c>
      <c r="I300" s="39" t="s">
        <v>89</v>
      </c>
      <c r="J300" s="39" t="s">
        <v>208</v>
      </c>
      <c r="K300" s="35" t="s">
        <v>272</v>
      </c>
    </row>
    <row r="301" spans="1:11" ht="20.100000000000001" customHeight="1" x14ac:dyDescent="0.35">
      <c r="A301" s="35" t="s">
        <v>554</v>
      </c>
      <c r="B301" s="44" t="s">
        <v>43</v>
      </c>
      <c r="C301" s="39" t="s">
        <v>12</v>
      </c>
      <c r="D301" s="38">
        <v>324</v>
      </c>
      <c r="E301" s="38">
        <v>2577</v>
      </c>
      <c r="F301" s="38">
        <v>835037</v>
      </c>
      <c r="G301" s="38">
        <v>83503</v>
      </c>
      <c r="H301" s="38">
        <v>918540</v>
      </c>
      <c r="I301" s="39" t="s">
        <v>89</v>
      </c>
      <c r="J301" s="39" t="s">
        <v>117</v>
      </c>
      <c r="K301" s="35" t="s">
        <v>273</v>
      </c>
    </row>
    <row r="302" spans="1:11" ht="20.100000000000001" customHeight="1" x14ac:dyDescent="0.35">
      <c r="A302" s="35" t="s">
        <v>555</v>
      </c>
      <c r="B302" s="44" t="s">
        <v>43</v>
      </c>
      <c r="C302" s="39" t="s">
        <v>12</v>
      </c>
      <c r="D302" s="38">
        <v>10</v>
      </c>
      <c r="E302" s="38">
        <v>2577</v>
      </c>
      <c r="F302" s="38">
        <v>25773</v>
      </c>
      <c r="G302" s="38">
        <v>2577</v>
      </c>
      <c r="H302" s="38">
        <v>28350</v>
      </c>
      <c r="I302" s="39" t="s">
        <v>89</v>
      </c>
      <c r="J302" s="39" t="s">
        <v>274</v>
      </c>
      <c r="K302" s="35" t="s">
        <v>275</v>
      </c>
    </row>
    <row r="303" spans="1:11" ht="20.100000000000001" customHeight="1" x14ac:dyDescent="0.35">
      <c r="A303" s="35" t="s">
        <v>556</v>
      </c>
      <c r="B303" s="44" t="s">
        <v>43</v>
      </c>
      <c r="C303" s="39" t="s">
        <v>12</v>
      </c>
      <c r="D303" s="38">
        <v>8</v>
      </c>
      <c r="E303" s="38">
        <v>4975</v>
      </c>
      <c r="F303" s="38">
        <v>39800</v>
      </c>
      <c r="G303" s="38">
        <v>0</v>
      </c>
      <c r="H303" s="38">
        <v>39800</v>
      </c>
      <c r="I303" s="39" t="s">
        <v>153</v>
      </c>
      <c r="J303" s="39" t="s">
        <v>159</v>
      </c>
      <c r="K303" s="35"/>
    </row>
    <row r="304" spans="1:11" ht="20.100000000000001" customHeight="1" x14ac:dyDescent="0.35">
      <c r="A304" s="35" t="s">
        <v>557</v>
      </c>
      <c r="B304" s="44" t="s">
        <v>43</v>
      </c>
      <c r="C304" s="39" t="s">
        <v>12</v>
      </c>
      <c r="D304" s="38">
        <v>324</v>
      </c>
      <c r="E304" s="38">
        <v>2577</v>
      </c>
      <c r="F304" s="38">
        <v>835037</v>
      </c>
      <c r="G304" s="38">
        <v>83503</v>
      </c>
      <c r="H304" s="38">
        <v>918540</v>
      </c>
      <c r="I304" s="39" t="s">
        <v>89</v>
      </c>
      <c r="J304" s="39" t="s">
        <v>117</v>
      </c>
      <c r="K304" s="35" t="s">
        <v>276</v>
      </c>
    </row>
    <row r="305" spans="1:11" ht="20.100000000000001" customHeight="1" x14ac:dyDescent="0.35">
      <c r="A305" s="35" t="s">
        <v>558</v>
      </c>
      <c r="B305" s="44" t="s">
        <v>43</v>
      </c>
      <c r="C305" s="39" t="s">
        <v>12</v>
      </c>
      <c r="D305" s="38">
        <v>960</v>
      </c>
      <c r="E305" s="38">
        <v>2577</v>
      </c>
      <c r="F305" s="38">
        <v>2474182</v>
      </c>
      <c r="G305" s="38">
        <v>247418</v>
      </c>
      <c r="H305" s="38">
        <v>2721600</v>
      </c>
      <c r="I305" s="39" t="s">
        <v>89</v>
      </c>
      <c r="J305" s="39" t="s">
        <v>277</v>
      </c>
      <c r="K305" s="35" t="s">
        <v>278</v>
      </c>
    </row>
    <row r="306" spans="1:11" ht="20.100000000000001" customHeight="1" x14ac:dyDescent="0.35">
      <c r="A306" s="35" t="s">
        <v>559</v>
      </c>
      <c r="B306" s="44" t="s">
        <v>43</v>
      </c>
      <c r="C306" s="39" t="s">
        <v>12</v>
      </c>
      <c r="D306" s="38">
        <v>60</v>
      </c>
      <c r="E306" s="38">
        <v>2577</v>
      </c>
      <c r="F306" s="38">
        <v>154637</v>
      </c>
      <c r="G306" s="38">
        <v>15463</v>
      </c>
      <c r="H306" s="38">
        <v>170100</v>
      </c>
      <c r="I306" s="39" t="s">
        <v>89</v>
      </c>
      <c r="J306" s="39" t="s">
        <v>122</v>
      </c>
      <c r="K306" s="35" t="s">
        <v>279</v>
      </c>
    </row>
    <row r="307" spans="1:11" ht="20.100000000000001" customHeight="1" x14ac:dyDescent="0.35">
      <c r="A307" s="35" t="s">
        <v>560</v>
      </c>
      <c r="B307" s="44" t="s">
        <v>43</v>
      </c>
      <c r="C307" s="39" t="s">
        <v>12</v>
      </c>
      <c r="D307" s="38">
        <v>36</v>
      </c>
      <c r="E307" s="38">
        <v>2577</v>
      </c>
      <c r="F307" s="38">
        <v>92782</v>
      </c>
      <c r="G307" s="38">
        <v>9278</v>
      </c>
      <c r="H307" s="38">
        <v>102060</v>
      </c>
      <c r="I307" s="39" t="s">
        <v>89</v>
      </c>
      <c r="J307" s="39" t="s">
        <v>280</v>
      </c>
      <c r="K307" s="35" t="s">
        <v>281</v>
      </c>
    </row>
    <row r="308" spans="1:11" ht="20.100000000000001" customHeight="1" x14ac:dyDescent="0.35">
      <c r="A308" s="35" t="s">
        <v>561</v>
      </c>
      <c r="B308" s="44" t="s">
        <v>43</v>
      </c>
      <c r="C308" s="39" t="s">
        <v>12</v>
      </c>
      <c r="D308" s="38">
        <v>72</v>
      </c>
      <c r="E308" s="38">
        <v>2577</v>
      </c>
      <c r="F308" s="38">
        <v>185564</v>
      </c>
      <c r="G308" s="38">
        <v>18556</v>
      </c>
      <c r="H308" s="38">
        <v>204120</v>
      </c>
      <c r="I308" s="39" t="s">
        <v>89</v>
      </c>
      <c r="J308" s="39" t="s">
        <v>280</v>
      </c>
      <c r="K308" s="35" t="s">
        <v>278</v>
      </c>
    </row>
    <row r="309" spans="1:11" ht="20.100000000000001" customHeight="1" x14ac:dyDescent="0.35">
      <c r="A309" s="35" t="s">
        <v>562</v>
      </c>
      <c r="B309" s="44" t="s">
        <v>43</v>
      </c>
      <c r="C309" s="39" t="s">
        <v>12</v>
      </c>
      <c r="D309" s="38">
        <v>660</v>
      </c>
      <c r="E309" s="38">
        <v>2577</v>
      </c>
      <c r="F309" s="38">
        <v>1701000</v>
      </c>
      <c r="G309" s="38">
        <v>170100</v>
      </c>
      <c r="H309" s="38">
        <v>1871100</v>
      </c>
      <c r="I309" s="39" t="s">
        <v>89</v>
      </c>
      <c r="J309" s="39" t="s">
        <v>117</v>
      </c>
      <c r="K309" s="35" t="s">
        <v>282</v>
      </c>
    </row>
    <row r="310" spans="1:11" ht="20.100000000000001" customHeight="1" x14ac:dyDescent="0.35">
      <c r="A310" s="35" t="s">
        <v>563</v>
      </c>
      <c r="B310" s="44" t="s">
        <v>43</v>
      </c>
      <c r="C310" s="39" t="s">
        <v>12</v>
      </c>
      <c r="D310" s="38">
        <v>48</v>
      </c>
      <c r="E310" s="38">
        <v>2577</v>
      </c>
      <c r="F310" s="38">
        <v>123709</v>
      </c>
      <c r="G310" s="38">
        <v>12371</v>
      </c>
      <c r="H310" s="38">
        <v>136080</v>
      </c>
      <c r="I310" s="39" t="s">
        <v>89</v>
      </c>
      <c r="J310" s="39" t="s">
        <v>137</v>
      </c>
      <c r="K310" s="35"/>
    </row>
    <row r="311" spans="1:11" ht="20.100000000000001" customHeight="1" x14ac:dyDescent="0.35">
      <c r="A311" s="54" t="s">
        <v>564</v>
      </c>
      <c r="B311" s="55"/>
      <c r="C311" s="56"/>
      <c r="D311" s="41">
        <f>SUM(D298:D310)</f>
        <v>3158</v>
      </c>
      <c r="E311" s="41">
        <f t="shared" ref="E311:H311" si="6">SUM(E298:E310)</f>
        <v>38297</v>
      </c>
      <c r="F311" s="41">
        <f t="shared" si="6"/>
        <v>8177395</v>
      </c>
      <c r="G311" s="41">
        <f t="shared" si="6"/>
        <v>809775</v>
      </c>
      <c r="H311" s="41">
        <f t="shared" si="6"/>
        <v>8987170</v>
      </c>
      <c r="I311" s="42"/>
      <c r="J311" s="42"/>
      <c r="K311" s="43"/>
    </row>
  </sheetData>
  <autoFilter ref="A4:K311" xr:uid="{00000000-0009-0000-0000-000001000000}"/>
  <mergeCells count="10">
    <mergeCell ref="A1:J1"/>
    <mergeCell ref="A282:C282"/>
    <mergeCell ref="A297:C297"/>
    <mergeCell ref="A311:C311"/>
    <mergeCell ref="A8:C8"/>
    <mergeCell ref="A10:C10"/>
    <mergeCell ref="A18:C18"/>
    <mergeCell ref="A48:C48"/>
    <mergeCell ref="A126:C126"/>
    <mergeCell ref="A216:C2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구매현황</vt:lpstr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2026-04-05T00:13:25Z</dcterms:created>
  <dcterms:modified xsi:type="dcterms:W3CDTF">2026-04-06T01:30:07Z</dcterms:modified>
</cp:coreProperties>
</file>