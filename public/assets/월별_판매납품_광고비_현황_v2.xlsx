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찐자료\"/>
    </mc:Choice>
  </mc:AlternateContent>
  <xr:revisionPtr revIDLastSave="0" documentId="13_ncr:1_{A1BBDB2C-789B-4FC7-A8E3-94F3CE25D78A}" xr6:coauthVersionLast="36" xr6:coauthVersionMax="36" xr10:uidLastSave="{00000000-0000-0000-0000-000000000000}"/>
  <bookViews>
    <workbookView xWindow="0" yWindow="0" windowWidth="19428" windowHeight="5472" activeTab="3" xr2:uid="{00000000-000D-0000-FFFF-FFFF00000000}"/>
  </bookViews>
  <sheets>
    <sheet name="① 월별합계_Layer1" sheetId="1" r:id="rId1"/>
    <sheet name="② 24-25시즌_제품별" sheetId="2" r:id="rId2"/>
    <sheet name="③ 25-26시즌_제품별" sheetId="3" r:id="rId3"/>
    <sheet name="광고비등비용" sheetId="5" r:id="rId4"/>
  </sheets>
  <definedNames>
    <definedName name="_xlnm.Print_Area" localSheetId="3">광고비등비용!$A$1:$H$20</definedName>
  </definedNames>
  <calcPr calcId="191029"/>
</workbook>
</file>

<file path=xl/calcChain.xml><?xml version="1.0" encoding="utf-8"?>
<calcChain xmlns="http://schemas.openxmlformats.org/spreadsheetml/2006/main">
  <c r="E4" i="5" l="1"/>
  <c r="F4" i="5"/>
  <c r="F5" i="5"/>
  <c r="C6" i="5"/>
  <c r="C11" i="5" s="1"/>
  <c r="F6" i="5"/>
  <c r="F11" i="5" s="1"/>
  <c r="C7" i="5"/>
  <c r="F7" i="5"/>
  <c r="F8" i="5"/>
  <c r="F9" i="5"/>
  <c r="F10" i="5"/>
  <c r="B11" i="5"/>
  <c r="D11" i="5"/>
  <c r="E11" i="5"/>
  <c r="G11" i="5"/>
  <c r="F12" i="5"/>
  <c r="F13" i="5"/>
  <c r="F14" i="5"/>
  <c r="F19" i="5" s="1"/>
  <c r="C15" i="5"/>
  <c r="C19" i="5" s="1"/>
  <c r="F15" i="5"/>
  <c r="F16" i="5"/>
  <c r="F17" i="5"/>
  <c r="F18" i="5"/>
  <c r="B19" i="5"/>
  <c r="D19" i="5"/>
  <c r="E19" i="5"/>
  <c r="G19" i="5"/>
  <c r="H17" i="5" l="1"/>
  <c r="H19" i="5"/>
  <c r="H9" i="5"/>
  <c r="H11" i="5"/>
  <c r="BM11" i="3" l="1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EC11" i="2"/>
  <c r="EB11" i="2"/>
  <c r="EA11" i="2"/>
  <c r="DZ11" i="2"/>
  <c r="DY11" i="2"/>
  <c r="DX11" i="2"/>
  <c r="DW11" i="2"/>
  <c r="DV11" i="2"/>
  <c r="DU11" i="2"/>
  <c r="DT11" i="2"/>
  <c r="DS11" i="2"/>
  <c r="DR11" i="2"/>
  <c r="DQ11" i="2"/>
  <c r="DP11" i="2"/>
  <c r="DO11" i="2"/>
  <c r="DN11" i="2"/>
  <c r="DM11" i="2"/>
  <c r="DL11" i="2"/>
  <c r="DK11" i="2"/>
  <c r="DJ11" i="2"/>
  <c r="DI11" i="2"/>
  <c r="DH11" i="2"/>
  <c r="DG11" i="2"/>
  <c r="DF11" i="2"/>
  <c r="DE11" i="2"/>
  <c r="DD11" i="2"/>
  <c r="DC11" i="2"/>
  <c r="DB11" i="2"/>
  <c r="DA11" i="2"/>
  <c r="CZ11" i="2"/>
  <c r="CY11" i="2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F15" i="1"/>
  <c r="E15" i="1"/>
  <c r="D15" i="1"/>
  <c r="C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6" authorId="0" shapeId="0" xr:uid="{2657BEA0-8080-463B-B7AE-35459046AD94}">
      <text>
        <r>
          <rPr>
            <b/>
            <sz val="9"/>
            <color indexed="81"/>
            <rFont val="돋움"/>
            <family val="3"/>
            <charset val="129"/>
          </rPr>
          <t>박상병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떨어진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쿠팡마진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광고로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대체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<sst xmlns="http://schemas.openxmlformats.org/spreadsheetml/2006/main" count="328" uniqueCount="105">
  <si>
    <t>연월</t>
  </si>
  <si>
    <t>시즌</t>
  </si>
  <si>
    <t>판매량(매)</t>
  </si>
  <si>
    <t>판매액(원)</t>
  </si>
  <si>
    <t>납품량(매)</t>
  </si>
  <si>
    <t>납품액(원)</t>
  </si>
  <si>
    <t>2024-10</t>
  </si>
  <si>
    <t>24-25</t>
  </si>
  <si>
    <t>2024-11</t>
  </si>
  <si>
    <t>2024-12</t>
  </si>
  <si>
    <t>2025-01</t>
  </si>
  <si>
    <t>2025-02</t>
  </si>
  <si>
    <t>2025-03</t>
  </si>
  <si>
    <t>2025-10</t>
  </si>
  <si>
    <t>25-26</t>
  </si>
  <si>
    <t>2025-11</t>
  </si>
  <si>
    <t>2025-12</t>
  </si>
  <si>
    <t>2026-01</t>
  </si>
  <si>
    <t>2026-02</t>
  </si>
  <si>
    <t>2026-03</t>
  </si>
  <si>
    <t>시즌 합계</t>
  </si>
  <si>
    <t>전체</t>
  </si>
  <si>
    <t>[Layer 1] 24-25시즌 월별 판매·납품 — 수량 단위: 매(개별)로 통일  ※팩수량 × 팩당 매수로 환산됨</t>
  </si>
  <si>
    <t>쿠팡 24-25시즌 월별 판매·납품 현황</t>
  </si>
  <si>
    <t>귀마개리필</t>
  </si>
  <si>
    <t>귀마개본품</t>
  </si>
  <si>
    <t>깔창형 발난로 남성용 10팩
(1팩=10매)</t>
  </si>
  <si>
    <t>깔창형 발난로 여성용 10팩
(1팩=10매)</t>
  </si>
  <si>
    <t>다용도 20매
(1팩=20매)</t>
  </si>
  <si>
    <t>대용량 30매
(1팩=30매)</t>
  </si>
  <si>
    <t>대용량 40매
(1팩=40매)</t>
  </si>
  <si>
    <t>더뜨거운 30매
(1팩=30매)</t>
  </si>
  <si>
    <t>더뜨거운 40매
(1팩=40매)</t>
  </si>
  <si>
    <t>맑은날제습제 200g 10개</t>
  </si>
  <si>
    <t>맥반석전기찜질기 1개</t>
  </si>
  <si>
    <t>목도리 5매
(1팩=5매)</t>
  </si>
  <si>
    <t>박상병 30매
(1팩=30매)</t>
  </si>
  <si>
    <t>박상병 40매
(1팩=40매)</t>
  </si>
  <si>
    <t>발가락핫팩10매
(1팩=10매)</t>
  </si>
  <si>
    <t>발난로 2개입 15팩
(1팩=15매)</t>
  </si>
  <si>
    <t>방석 4개입
(1팩=4매)</t>
  </si>
  <si>
    <t>불가마 20매
(1팩=20매)</t>
  </si>
  <si>
    <t>불가마 40매
(1팩=40매)</t>
  </si>
  <si>
    <t>붙이는 박상병 50매
(1팩=50매)</t>
  </si>
  <si>
    <t>붙이는 생강 30매
(1팩=30매)</t>
  </si>
  <si>
    <t>붙이는 쑥  30매
(1팩=30매)</t>
  </si>
  <si>
    <t>손난로 20매
(1팩=20매)</t>
  </si>
  <si>
    <t>손난로 30매
(1팩=30매)</t>
  </si>
  <si>
    <t>손난로 40매
(1팩=40매)</t>
  </si>
  <si>
    <t>수능선물세트</t>
  </si>
  <si>
    <t>아랫배케어 20매
(1팩=20매)</t>
  </si>
  <si>
    <t>아이워머 라벤더향 15매
(1팩=15매)</t>
  </si>
  <si>
    <t>아이워머 무향 15매
(1팩=15매)</t>
  </si>
  <si>
    <t>추석선물세트</t>
  </si>
  <si>
    <t>하루온팩 20매
(1팩=20매)</t>
  </si>
  <si>
    <t>하루온팩 40매
(1팩=40매)</t>
  </si>
  <si>
    <t>하루온팩 50매
(1팩=50매)</t>
  </si>
  <si>
    <t>합  계</t>
  </si>
  <si>
    <t>[Layer 1] 25-26시즌 월별 판매·납품 — 수량 단위: 매(개별)  ※원본 그대로 사용</t>
  </si>
  <si>
    <t>쿠팡 25-26시즌 월별 판매·납품 현황</t>
  </si>
  <si>
    <t>군인 10매</t>
  </si>
  <si>
    <t>귀마개 본품</t>
  </si>
  <si>
    <t>깔창형발난로(남성용) 10팩</t>
  </si>
  <si>
    <t>깔창형발난로(여성용) 10팩</t>
  </si>
  <si>
    <t>대용량 10매</t>
  </si>
  <si>
    <t>박상병 10매</t>
  </si>
  <si>
    <t>박상병 30매</t>
  </si>
  <si>
    <t>박상병 40매</t>
  </si>
  <si>
    <t>박일병 10매</t>
  </si>
  <si>
    <t>발가락 10매</t>
  </si>
  <si>
    <t>발난로 30매</t>
  </si>
  <si>
    <t>불가마목도리온팩 10매</t>
  </si>
  <si>
    <t>불가마붙이는 20매</t>
  </si>
  <si>
    <t>손난로10매</t>
  </si>
  <si>
    <t>하루온팩 100매</t>
  </si>
  <si>
    <t>하루온팩 10매</t>
  </si>
  <si>
    <r>
      <t xml:space="preserve">[Layer 1] </t>
    </r>
    <r>
      <rPr>
        <b/>
        <sz val="10"/>
        <color rgb="FF7F3F00"/>
        <rFont val="맑은 고딕"/>
        <family val="3"/>
        <charset val="129"/>
      </rPr>
      <t>수량은</t>
    </r>
    <r>
      <rPr>
        <b/>
        <sz val="10"/>
        <color rgb="FF7F3F00"/>
        <rFont val="Arial"/>
        <family val="2"/>
      </rPr>
      <t xml:space="preserve"> </t>
    </r>
    <r>
      <rPr>
        <b/>
        <sz val="10"/>
        <color rgb="FF7F3F00"/>
        <rFont val="맑은 고딕"/>
        <family val="3"/>
        <charset val="129"/>
      </rPr>
      <t>매</t>
    </r>
    <r>
      <rPr>
        <b/>
        <sz val="10"/>
        <color rgb="FF7F3F00"/>
        <rFont val="Arial"/>
        <family val="2"/>
      </rPr>
      <t>(</t>
    </r>
    <r>
      <rPr>
        <b/>
        <sz val="10"/>
        <color rgb="FF7F3F00"/>
        <rFont val="맑은 고딕"/>
        <family val="3"/>
        <charset val="129"/>
      </rPr>
      <t>개별</t>
    </r>
    <r>
      <rPr>
        <b/>
        <sz val="10"/>
        <color rgb="FF7F3F00"/>
        <rFont val="Arial"/>
        <family val="2"/>
      </rPr>
      <t xml:space="preserve">) </t>
    </r>
    <r>
      <rPr>
        <b/>
        <sz val="10"/>
        <color rgb="FF7F3F00"/>
        <rFont val="맑은 고딕"/>
        <family val="3"/>
        <charset val="129"/>
      </rPr>
      <t>단위로</t>
    </r>
    <r>
      <rPr>
        <b/>
        <sz val="10"/>
        <color rgb="FF7F3F00"/>
        <rFont val="Arial"/>
        <family val="2"/>
      </rPr>
      <t xml:space="preserve"> </t>
    </r>
    <r>
      <rPr>
        <b/>
        <sz val="10"/>
        <color rgb="FF7F3F00"/>
        <rFont val="맑은 고딕"/>
        <family val="3"/>
        <charset val="129"/>
      </rPr>
      <t>통일</t>
    </r>
    <r>
      <rPr>
        <b/>
        <sz val="10"/>
        <color rgb="FF7F3F00"/>
        <rFont val="Arial"/>
        <family val="2"/>
      </rPr>
      <t xml:space="preserve"> | 24-25</t>
    </r>
    <r>
      <rPr>
        <b/>
        <sz val="10"/>
        <color rgb="FF7F3F00"/>
        <rFont val="맑은 고딕"/>
        <family val="3"/>
        <charset val="129"/>
      </rPr>
      <t>시즌</t>
    </r>
    <r>
      <rPr>
        <b/>
        <sz val="10"/>
        <color rgb="FF7F3F00"/>
        <rFont val="Arial"/>
        <family val="2"/>
      </rPr>
      <t xml:space="preserve">: </t>
    </r>
    <r>
      <rPr>
        <b/>
        <sz val="10"/>
        <color rgb="FF7F3F00"/>
        <rFont val="맑은 고딕"/>
        <family val="3"/>
        <charset val="129"/>
      </rPr>
      <t>팩수량</t>
    </r>
    <r>
      <rPr>
        <b/>
        <sz val="10"/>
        <color rgb="FF7F3F00"/>
        <rFont val="Arial"/>
        <family val="2"/>
      </rPr>
      <t>×</t>
    </r>
    <r>
      <rPr>
        <b/>
        <sz val="10"/>
        <color rgb="FF7F3F00"/>
        <rFont val="맑은 고딕"/>
        <family val="3"/>
        <charset val="129"/>
      </rPr>
      <t>팩당매수로</t>
    </r>
    <r>
      <rPr>
        <b/>
        <sz val="10"/>
        <color rgb="FF7F3F00"/>
        <rFont val="Arial"/>
        <family val="2"/>
      </rPr>
      <t xml:space="preserve"> </t>
    </r>
    <r>
      <rPr>
        <b/>
        <sz val="10"/>
        <color rgb="FF7F3F00"/>
        <rFont val="맑은 고딕"/>
        <family val="3"/>
        <charset val="129"/>
      </rPr>
      <t>환산</t>
    </r>
    <phoneticPr fontId="7" type="noConversion"/>
  </si>
  <si>
    <t>(부가세 포함)</t>
    <phoneticPr fontId="7" type="noConversion"/>
  </si>
  <si>
    <t>25년시즌 합계</t>
    <phoneticPr fontId="7" type="noConversion"/>
  </si>
  <si>
    <t>반품예상</t>
    <phoneticPr fontId="7" type="noConversion"/>
  </si>
  <si>
    <t>26년 03월</t>
    <phoneticPr fontId="7" type="noConversion"/>
  </si>
  <si>
    <t>26년 02월</t>
    <phoneticPr fontId="7" type="noConversion"/>
  </si>
  <si>
    <t>비용률</t>
    <phoneticPr fontId="7" type="noConversion"/>
  </si>
  <si>
    <t>25년시즌 매출</t>
    <phoneticPr fontId="7" type="noConversion"/>
  </si>
  <si>
    <t>26년 01월</t>
    <phoneticPr fontId="7" type="noConversion"/>
  </si>
  <si>
    <t>25년 12월</t>
    <phoneticPr fontId="7" type="noConversion"/>
  </si>
  <si>
    <t>25년 11월</t>
    <phoneticPr fontId="7" type="noConversion"/>
  </si>
  <si>
    <t>25년 10월</t>
    <phoneticPr fontId="7" type="noConversion"/>
  </si>
  <si>
    <t>25년 09월</t>
    <phoneticPr fontId="7" type="noConversion"/>
  </si>
  <si>
    <t>24년시즌 합계</t>
    <phoneticPr fontId="7" type="noConversion"/>
  </si>
  <si>
    <t>반품</t>
    <phoneticPr fontId="7" type="noConversion"/>
  </si>
  <si>
    <t>25년 03월</t>
    <phoneticPr fontId="7" type="noConversion"/>
  </si>
  <si>
    <t>25년 02월</t>
    <phoneticPr fontId="7" type="noConversion"/>
  </si>
  <si>
    <t>25년 01월</t>
    <phoneticPr fontId="7" type="noConversion"/>
  </si>
  <si>
    <t>24년 12월</t>
  </si>
  <si>
    <t>24년 11월</t>
  </si>
  <si>
    <t>24년 10월</t>
    <phoneticPr fontId="7" type="noConversion"/>
  </si>
  <si>
    <t>24년 09월</t>
    <phoneticPr fontId="7" type="noConversion"/>
  </si>
  <si>
    <t>계</t>
    <phoneticPr fontId="7" type="noConversion"/>
  </si>
  <si>
    <t>프리미엄데이터</t>
    <phoneticPr fontId="7" type="noConversion"/>
  </si>
  <si>
    <t>밀크런</t>
    <phoneticPr fontId="7" type="noConversion"/>
  </si>
  <si>
    <t>광고비</t>
    <phoneticPr fontId="7" type="noConversion"/>
  </si>
  <si>
    <t>쿠폰(즉시할인)</t>
    <phoneticPr fontId="7" type="noConversion"/>
  </si>
  <si>
    <t>년월</t>
    <phoneticPr fontId="7" type="noConversion"/>
  </si>
  <si>
    <t>쿠팡 광고비등 비용현황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</si>
</sst>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 x14ac:knownFonts="1">
    <font>
      <sz val="11"/>
      <color theme="1"/>
      <name val="맑은 고딕"/>
      <family val="2"/>
      <scheme val="minor"/>
    </font>
    <font>
      <b/>
      <sz val="10"/>
      <color rgb="FF7F3F00"/>
      <name val="Arial"/>
    </font>
    <font>
      <b/>
      <sz val="10"/>
      <color rgb="FFFFFFFF"/>
      <name val="Arial"/>
    </font>
    <font>
      <b/>
      <sz val="10"/>
      <name val="Arial"/>
    </font>
    <font>
      <b/>
      <sz val="12"/>
      <color rgb="FFFFFFFF"/>
      <name val="Arial"/>
    </font>
    <font>
      <sz val="10"/>
      <name val="Arial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7F3F00"/>
      <name val="맑은 고딕"/>
      <family val="3"/>
      <charset val="129"/>
    </font>
    <font>
      <b/>
      <sz val="10"/>
      <color rgb="FF7F3F00"/>
      <name val="Arial"/>
      <family val="2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7F3F00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solid">
        <fgColor rgb="FF2E75B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3">
    <xf numFmtId="0" fontId="0" fillId="0" borderId="0"/>
    <xf numFmtId="0" fontId="6" fillId="0" borderId="0"/>
    <xf numFmtId="41" fontId="6" fillId="0" borderId="0" applyFont="0" applyFill="0" applyBorder="0" applyAlignment="0" applyProtection="0">
      <alignment vertical="center"/>
    </xf>
  </cellStyleXfs>
  <cellXfs count="6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3" fontId="3" fillId="7" borderId="1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3" fontId="5" fillId="7" borderId="1" xfId="0" applyNumberFormat="1" applyFont="1" applyFill="1" applyBorder="1" applyAlignment="1">
      <alignment horizontal="right" vertical="center"/>
    </xf>
    <xf numFmtId="0" fontId="6" fillId="0" borderId="0" xfId="1" applyAlignment="1">
      <alignment horizontal="center" vertical="center"/>
    </xf>
    <xf numFmtId="0" fontId="10" fillId="0" borderId="0" xfId="1" applyFont="1" applyAlignment="1">
      <alignment horizontal="center" vertical="center"/>
    </xf>
    <xf numFmtId="41" fontId="10" fillId="0" borderId="0" xfId="1" applyNumberFormat="1" applyFont="1" applyAlignment="1">
      <alignment horizontal="center" vertical="center"/>
    </xf>
    <xf numFmtId="41" fontId="0" fillId="0" borderId="0" xfId="2" applyFont="1" applyAlignment="1">
      <alignment horizontal="center" vertical="center"/>
    </xf>
    <xf numFmtId="41" fontId="11" fillId="0" borderId="0" xfId="1" applyNumberFormat="1" applyFont="1" applyAlignment="1">
      <alignment horizontal="center" vertical="center"/>
    </xf>
    <xf numFmtId="41" fontId="12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right" vertical="center"/>
    </xf>
    <xf numFmtId="41" fontId="10" fillId="0" borderId="0" xfId="2" applyFont="1" applyAlignment="1">
      <alignment horizontal="center" vertical="center"/>
    </xf>
    <xf numFmtId="10" fontId="12" fillId="10" borderId="0" xfId="2" applyNumberFormat="1" applyFont="1" applyFill="1" applyBorder="1" applyAlignment="1">
      <alignment horizontal="center" vertical="center"/>
    </xf>
    <xf numFmtId="41" fontId="11" fillId="10" borderId="3" xfId="1" applyNumberFormat="1" applyFont="1" applyFill="1" applyBorder="1" applyAlignment="1">
      <alignment horizontal="center" vertical="center"/>
    </xf>
    <xf numFmtId="41" fontId="11" fillId="10" borderId="4" xfId="2" applyFont="1" applyFill="1" applyBorder="1" applyAlignment="1">
      <alignment horizontal="center" vertical="center"/>
    </xf>
    <xf numFmtId="41" fontId="11" fillId="10" borderId="5" xfId="2" applyFont="1" applyFill="1" applyBorder="1" applyAlignment="1">
      <alignment horizontal="center" vertical="center"/>
    </xf>
    <xf numFmtId="0" fontId="11" fillId="10" borderId="6" xfId="1" applyFont="1" applyFill="1" applyBorder="1" applyAlignment="1">
      <alignment horizontal="center" vertical="center"/>
    </xf>
    <xf numFmtId="10" fontId="12" fillId="0" borderId="0" xfId="2" applyNumberFormat="1" applyFont="1" applyAlignment="1">
      <alignment horizontal="center" vertical="center"/>
    </xf>
    <xf numFmtId="41" fontId="13" fillId="0" borderId="7" xfId="1" applyNumberFormat="1" applyFont="1" applyBorder="1" applyAlignment="1">
      <alignment horizontal="center" vertical="center"/>
    </xf>
    <xf numFmtId="41" fontId="13" fillId="0" borderId="8" xfId="2" applyFont="1" applyBorder="1" applyAlignment="1">
      <alignment horizontal="center" vertical="center"/>
    </xf>
    <xf numFmtId="41" fontId="13" fillId="11" borderId="8" xfId="2" applyFont="1" applyFill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41" fontId="11" fillId="0" borderId="0" xfId="2" applyFont="1" applyAlignment="1">
      <alignment horizontal="center" vertical="center"/>
    </xf>
    <xf numFmtId="41" fontId="13" fillId="0" borderId="7" xfId="1" applyNumberFormat="1" applyFont="1" applyFill="1" applyBorder="1" applyAlignment="1">
      <alignment horizontal="center" vertical="center"/>
    </xf>
    <xf numFmtId="41" fontId="13" fillId="0" borderId="10" xfId="2" applyFont="1" applyFill="1" applyBorder="1" applyAlignment="1">
      <alignment horizontal="center" vertical="center"/>
    </xf>
    <xf numFmtId="41" fontId="13" fillId="11" borderId="10" xfId="2" applyFont="1" applyFill="1" applyBorder="1" applyAlignment="1">
      <alignment horizontal="center" vertical="center"/>
    </xf>
    <xf numFmtId="0" fontId="10" fillId="11" borderId="11" xfId="1" applyFont="1" applyFill="1" applyBorder="1" applyAlignment="1">
      <alignment horizontal="center" vertical="center"/>
    </xf>
    <xf numFmtId="41" fontId="13" fillId="11" borderId="7" xfId="1" applyNumberFormat="1" applyFont="1" applyFill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41" fontId="13" fillId="0" borderId="0" xfId="2" applyFont="1" applyAlignment="1">
      <alignment horizontal="center" vertical="center"/>
    </xf>
    <xf numFmtId="10" fontId="12" fillId="10" borderId="0" xfId="2" applyNumberFormat="1" applyFont="1" applyFill="1" applyAlignment="1">
      <alignment horizontal="center" vertical="center"/>
    </xf>
    <xf numFmtId="41" fontId="11" fillId="10" borderId="0" xfId="2" applyFont="1" applyFill="1" applyAlignment="1">
      <alignment horizontal="center" vertical="center"/>
    </xf>
    <xf numFmtId="41" fontId="11" fillId="10" borderId="7" xfId="2" applyFont="1" applyFill="1" applyBorder="1" applyAlignment="1">
      <alignment horizontal="center" vertical="center"/>
    </xf>
    <xf numFmtId="41" fontId="11" fillId="10" borderId="10" xfId="2" applyFont="1" applyFill="1" applyBorder="1" applyAlignment="1">
      <alignment horizontal="center" vertical="center"/>
    </xf>
    <xf numFmtId="0" fontId="11" fillId="10" borderId="11" xfId="1" applyFont="1" applyFill="1" applyBorder="1" applyAlignment="1">
      <alignment horizontal="center" vertical="center"/>
    </xf>
    <xf numFmtId="41" fontId="12" fillId="0" borderId="0" xfId="2" applyFont="1" applyAlignment="1">
      <alignment horizontal="center" vertical="center"/>
    </xf>
    <xf numFmtId="41" fontId="13" fillId="0" borderId="10" xfId="2" applyFont="1" applyBorder="1" applyAlignment="1">
      <alignment horizontal="center" vertical="center"/>
    </xf>
    <xf numFmtId="10" fontId="12" fillId="0" borderId="0" xfId="2" applyNumberFormat="1" applyFont="1" applyFill="1" applyAlignment="1">
      <alignment horizontal="center" vertical="center"/>
    </xf>
    <xf numFmtId="41" fontId="11" fillId="0" borderId="0" xfId="2" applyFont="1" applyFill="1" applyAlignment="1">
      <alignment horizontal="center" vertical="center"/>
    </xf>
    <xf numFmtId="0" fontId="6" fillId="0" borderId="10" xfId="1" applyBorder="1" applyAlignment="1">
      <alignment horizontal="center" vertical="center"/>
    </xf>
    <xf numFmtId="0" fontId="11" fillId="12" borderId="12" xfId="1" applyFont="1" applyFill="1" applyBorder="1" applyAlignment="1">
      <alignment horizontal="center" vertical="center"/>
    </xf>
    <xf numFmtId="0" fontId="11" fillId="12" borderId="13" xfId="1" applyFont="1" applyFill="1" applyBorder="1" applyAlignment="1">
      <alignment horizontal="center" vertical="center"/>
    </xf>
    <xf numFmtId="0" fontId="11" fillId="12" borderId="14" xfId="1" applyFont="1" applyFill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9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</cellXfs>
  <cellStyles count="3">
    <cellStyle name="쉼표 [0] 2" xfId="2" xr:uid="{66E8EB90-0428-4E55-802D-E8EE10D313D5}"/>
    <cellStyle name="표준" xfId="0" builtinId="0"/>
    <cellStyle name="표준 4" xfId="1" xr:uid="{0676C6CF-A53D-4197-9A0B-18AFF6F4ECC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sqref="A1:F1"/>
    </sheetView>
  </sheetViews>
  <sheetFormatPr defaultRowHeight="17.399999999999999" x14ac:dyDescent="0.4"/>
  <cols>
    <col min="1" max="2" width="12" customWidth="1"/>
    <col min="3" max="6" width="18" customWidth="1"/>
  </cols>
  <sheetData>
    <row r="1" spans="1:6" ht="22.05" customHeight="1" x14ac:dyDescent="0.4">
      <c r="A1" s="54" t="s">
        <v>76</v>
      </c>
      <c r="B1" s="55"/>
      <c r="C1" s="55"/>
      <c r="D1" s="55"/>
      <c r="E1" s="55"/>
      <c r="F1" s="55"/>
    </row>
    <row r="2" spans="1:6" ht="28.05" customHeigh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4">
      <c r="A3" s="2" t="s">
        <v>6</v>
      </c>
      <c r="B3" s="3" t="s">
        <v>7</v>
      </c>
      <c r="C3" s="4">
        <v>439817</v>
      </c>
      <c r="D3" s="4">
        <v>133133738</v>
      </c>
      <c r="E3" s="4">
        <v>11496</v>
      </c>
      <c r="F3" s="4">
        <v>8458489</v>
      </c>
    </row>
    <row r="4" spans="1:6" x14ac:dyDescent="0.4">
      <c r="A4" s="2" t="s">
        <v>8</v>
      </c>
      <c r="B4" s="3" t="s">
        <v>7</v>
      </c>
      <c r="C4" s="4">
        <v>2465883</v>
      </c>
      <c r="D4" s="4">
        <v>751200836</v>
      </c>
      <c r="E4" s="4">
        <v>4942923</v>
      </c>
      <c r="F4" s="4">
        <v>1569880555</v>
      </c>
    </row>
    <row r="5" spans="1:6" x14ac:dyDescent="0.4">
      <c r="A5" s="2" t="s">
        <v>9</v>
      </c>
      <c r="B5" s="3" t="s">
        <v>7</v>
      </c>
      <c r="C5" s="4">
        <v>3223484</v>
      </c>
      <c r="D5" s="4">
        <v>1017014395</v>
      </c>
      <c r="E5" s="4">
        <v>1266880</v>
      </c>
      <c r="F5" s="4">
        <v>343203368</v>
      </c>
    </row>
    <row r="6" spans="1:6" x14ac:dyDescent="0.4">
      <c r="A6" s="2" t="s">
        <v>10</v>
      </c>
      <c r="B6" s="3" t="s">
        <v>7</v>
      </c>
      <c r="C6" s="4">
        <v>2307674</v>
      </c>
      <c r="D6" s="4">
        <v>748033270</v>
      </c>
      <c r="E6" s="4">
        <v>847170</v>
      </c>
      <c r="F6" s="4">
        <v>266056601</v>
      </c>
    </row>
    <row r="7" spans="1:6" x14ac:dyDescent="0.4">
      <c r="A7" s="2" t="s">
        <v>11</v>
      </c>
      <c r="B7" s="3" t="s">
        <v>7</v>
      </c>
      <c r="C7" s="4">
        <v>1306690</v>
      </c>
      <c r="D7" s="4">
        <v>410422092</v>
      </c>
      <c r="E7" s="4">
        <v>259340</v>
      </c>
      <c r="F7" s="4">
        <v>83085191</v>
      </c>
    </row>
    <row r="8" spans="1:6" x14ac:dyDescent="0.4">
      <c r="A8" s="2" t="s">
        <v>12</v>
      </c>
      <c r="B8" s="3" t="s">
        <v>7</v>
      </c>
      <c r="C8" s="4">
        <v>235421</v>
      </c>
      <c r="D8" s="4">
        <v>78403643</v>
      </c>
      <c r="E8" s="4">
        <v>30160</v>
      </c>
      <c r="F8" s="4">
        <v>11052602</v>
      </c>
    </row>
    <row r="9" spans="1:6" x14ac:dyDescent="0.4">
      <c r="A9" s="5" t="s">
        <v>13</v>
      </c>
      <c r="B9" s="6" t="s">
        <v>14</v>
      </c>
      <c r="C9" s="7">
        <v>60041</v>
      </c>
      <c r="D9" s="7">
        <v>17007804</v>
      </c>
      <c r="E9" s="7">
        <v>244495</v>
      </c>
      <c r="F9" s="7">
        <v>68534331</v>
      </c>
    </row>
    <row r="10" spans="1:6" x14ac:dyDescent="0.4">
      <c r="A10" s="5" t="s">
        <v>15</v>
      </c>
      <c r="B10" s="6" t="s">
        <v>14</v>
      </c>
      <c r="C10" s="7">
        <v>291946</v>
      </c>
      <c r="D10" s="7">
        <v>83037054</v>
      </c>
      <c r="E10" s="7">
        <v>425677</v>
      </c>
      <c r="F10" s="7">
        <v>125794501</v>
      </c>
    </row>
    <row r="11" spans="1:6" x14ac:dyDescent="0.4">
      <c r="A11" s="5" t="s">
        <v>16</v>
      </c>
      <c r="B11" s="6" t="s">
        <v>14</v>
      </c>
      <c r="C11" s="7">
        <v>575650</v>
      </c>
      <c r="D11" s="7">
        <v>165241260</v>
      </c>
      <c r="E11" s="7">
        <v>554447</v>
      </c>
      <c r="F11" s="7">
        <v>156827449</v>
      </c>
    </row>
    <row r="12" spans="1:6" x14ac:dyDescent="0.4">
      <c r="A12" s="5" t="s">
        <v>17</v>
      </c>
      <c r="B12" s="6" t="s">
        <v>14</v>
      </c>
      <c r="C12" s="7">
        <v>473920</v>
      </c>
      <c r="D12" s="7">
        <v>140569759</v>
      </c>
      <c r="E12" s="7">
        <v>142030</v>
      </c>
      <c r="F12" s="7">
        <v>40099606</v>
      </c>
    </row>
    <row r="13" spans="1:6" x14ac:dyDescent="0.4">
      <c r="A13" s="5" t="s">
        <v>18</v>
      </c>
      <c r="B13" s="6" t="s">
        <v>14</v>
      </c>
      <c r="C13" s="7">
        <v>100634</v>
      </c>
      <c r="D13" s="7">
        <v>30322591</v>
      </c>
      <c r="E13" s="7">
        <v>10156</v>
      </c>
      <c r="F13" s="7">
        <v>2833866</v>
      </c>
    </row>
    <row r="14" spans="1:6" x14ac:dyDescent="0.4">
      <c r="A14" s="5" t="s">
        <v>19</v>
      </c>
      <c r="B14" s="6" t="s">
        <v>14</v>
      </c>
      <c r="C14" s="7">
        <v>32614</v>
      </c>
      <c r="D14" s="7">
        <v>8851887</v>
      </c>
      <c r="E14" s="7">
        <v>3106</v>
      </c>
      <c r="F14" s="7">
        <v>880551</v>
      </c>
    </row>
    <row r="15" spans="1:6" x14ac:dyDescent="0.4">
      <c r="A15" s="8" t="s">
        <v>20</v>
      </c>
      <c r="B15" s="8" t="s">
        <v>21</v>
      </c>
      <c r="C15" s="9">
        <f>SUM(C3:C14)</f>
        <v>11513774</v>
      </c>
      <c r="D15" s="9">
        <f>SUM(D3:D14)</f>
        <v>3583238329</v>
      </c>
      <c r="E15" s="9">
        <f>SUM(E3:E14)</f>
        <v>8737880</v>
      </c>
      <c r="F15" s="9">
        <f>SUM(F3:F14)</f>
        <v>2676707110</v>
      </c>
    </row>
  </sheetData>
  <mergeCells count="1">
    <mergeCell ref="A1:F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11"/>
  <sheetViews>
    <sheetView workbookViewId="0">
      <pane xSplit="1" ySplit="4" topLeftCell="B5" activePane="bottomRight" state="frozen"/>
      <selection pane="topRight"/>
      <selection pane="bottomLeft"/>
      <selection pane="bottomRight" sqref="A1:EC1"/>
    </sheetView>
  </sheetViews>
  <sheetFormatPr defaultRowHeight="17.399999999999999" x14ac:dyDescent="0.4"/>
  <cols>
    <col min="1" max="1" width="12" customWidth="1"/>
    <col min="2" max="133" width="14" customWidth="1"/>
  </cols>
  <sheetData>
    <row r="1" spans="1:133" ht="22.05" customHeight="1" x14ac:dyDescent="0.4">
      <c r="A1" s="58" t="s">
        <v>22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</row>
    <row r="2" spans="1:133" ht="30" customHeight="1" x14ac:dyDescent="0.4">
      <c r="A2" s="57" t="s">
        <v>23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</row>
    <row r="3" spans="1:133" ht="36" customHeight="1" x14ac:dyDescent="0.4">
      <c r="A3" s="59" t="s">
        <v>0</v>
      </c>
      <c r="B3" s="56" t="s">
        <v>24</v>
      </c>
      <c r="C3" s="55"/>
      <c r="D3" s="55"/>
      <c r="E3" s="55"/>
      <c r="F3" s="56" t="s">
        <v>25</v>
      </c>
      <c r="G3" s="55"/>
      <c r="H3" s="55"/>
      <c r="I3" s="55"/>
      <c r="J3" s="56" t="s">
        <v>26</v>
      </c>
      <c r="K3" s="55"/>
      <c r="L3" s="55"/>
      <c r="M3" s="55"/>
      <c r="N3" s="56" t="s">
        <v>27</v>
      </c>
      <c r="O3" s="55"/>
      <c r="P3" s="55"/>
      <c r="Q3" s="55"/>
      <c r="R3" s="56" t="s">
        <v>28</v>
      </c>
      <c r="S3" s="55"/>
      <c r="T3" s="55"/>
      <c r="U3" s="55"/>
      <c r="V3" s="56" t="s">
        <v>29</v>
      </c>
      <c r="W3" s="55"/>
      <c r="X3" s="55"/>
      <c r="Y3" s="55"/>
      <c r="Z3" s="56" t="s">
        <v>30</v>
      </c>
      <c r="AA3" s="55"/>
      <c r="AB3" s="55"/>
      <c r="AC3" s="55"/>
      <c r="AD3" s="56" t="s">
        <v>31</v>
      </c>
      <c r="AE3" s="55"/>
      <c r="AF3" s="55"/>
      <c r="AG3" s="55"/>
      <c r="AH3" s="56" t="s">
        <v>32</v>
      </c>
      <c r="AI3" s="55"/>
      <c r="AJ3" s="55"/>
      <c r="AK3" s="55"/>
      <c r="AL3" s="56" t="s">
        <v>33</v>
      </c>
      <c r="AM3" s="55"/>
      <c r="AN3" s="55"/>
      <c r="AO3" s="55"/>
      <c r="AP3" s="56" t="s">
        <v>34</v>
      </c>
      <c r="AQ3" s="55"/>
      <c r="AR3" s="55"/>
      <c r="AS3" s="55"/>
      <c r="AT3" s="56" t="s">
        <v>35</v>
      </c>
      <c r="AU3" s="55"/>
      <c r="AV3" s="55"/>
      <c r="AW3" s="55"/>
      <c r="AX3" s="56" t="s">
        <v>36</v>
      </c>
      <c r="AY3" s="55"/>
      <c r="AZ3" s="55"/>
      <c r="BA3" s="55"/>
      <c r="BB3" s="56" t="s">
        <v>37</v>
      </c>
      <c r="BC3" s="55"/>
      <c r="BD3" s="55"/>
      <c r="BE3" s="55"/>
      <c r="BF3" s="56" t="s">
        <v>38</v>
      </c>
      <c r="BG3" s="55"/>
      <c r="BH3" s="55"/>
      <c r="BI3" s="55"/>
      <c r="BJ3" s="56" t="s">
        <v>39</v>
      </c>
      <c r="BK3" s="55"/>
      <c r="BL3" s="55"/>
      <c r="BM3" s="55"/>
      <c r="BN3" s="56" t="s">
        <v>40</v>
      </c>
      <c r="BO3" s="55"/>
      <c r="BP3" s="55"/>
      <c r="BQ3" s="55"/>
      <c r="BR3" s="56" t="s">
        <v>41</v>
      </c>
      <c r="BS3" s="55"/>
      <c r="BT3" s="55"/>
      <c r="BU3" s="55"/>
      <c r="BV3" s="56" t="s">
        <v>42</v>
      </c>
      <c r="BW3" s="55"/>
      <c r="BX3" s="55"/>
      <c r="BY3" s="55"/>
      <c r="BZ3" s="56" t="s">
        <v>43</v>
      </c>
      <c r="CA3" s="55"/>
      <c r="CB3" s="55"/>
      <c r="CC3" s="55"/>
      <c r="CD3" s="56" t="s">
        <v>44</v>
      </c>
      <c r="CE3" s="55"/>
      <c r="CF3" s="55"/>
      <c r="CG3" s="55"/>
      <c r="CH3" s="56" t="s">
        <v>45</v>
      </c>
      <c r="CI3" s="55"/>
      <c r="CJ3" s="55"/>
      <c r="CK3" s="55"/>
      <c r="CL3" s="56" t="s">
        <v>46</v>
      </c>
      <c r="CM3" s="55"/>
      <c r="CN3" s="55"/>
      <c r="CO3" s="55"/>
      <c r="CP3" s="56" t="s">
        <v>47</v>
      </c>
      <c r="CQ3" s="55"/>
      <c r="CR3" s="55"/>
      <c r="CS3" s="55"/>
      <c r="CT3" s="56" t="s">
        <v>48</v>
      </c>
      <c r="CU3" s="55"/>
      <c r="CV3" s="55"/>
      <c r="CW3" s="55"/>
      <c r="CX3" s="56" t="s">
        <v>49</v>
      </c>
      <c r="CY3" s="55"/>
      <c r="CZ3" s="55"/>
      <c r="DA3" s="55"/>
      <c r="DB3" s="56" t="s">
        <v>50</v>
      </c>
      <c r="DC3" s="55"/>
      <c r="DD3" s="55"/>
      <c r="DE3" s="55"/>
      <c r="DF3" s="56" t="s">
        <v>51</v>
      </c>
      <c r="DG3" s="55"/>
      <c r="DH3" s="55"/>
      <c r="DI3" s="55"/>
      <c r="DJ3" s="56" t="s">
        <v>52</v>
      </c>
      <c r="DK3" s="55"/>
      <c r="DL3" s="55"/>
      <c r="DM3" s="55"/>
      <c r="DN3" s="56" t="s">
        <v>53</v>
      </c>
      <c r="DO3" s="55"/>
      <c r="DP3" s="55"/>
      <c r="DQ3" s="55"/>
      <c r="DR3" s="56" t="s">
        <v>54</v>
      </c>
      <c r="DS3" s="55"/>
      <c r="DT3" s="55"/>
      <c r="DU3" s="55"/>
      <c r="DV3" s="56" t="s">
        <v>55</v>
      </c>
      <c r="DW3" s="55"/>
      <c r="DX3" s="55"/>
      <c r="DY3" s="55"/>
      <c r="DZ3" s="56" t="s">
        <v>56</v>
      </c>
      <c r="EA3" s="55"/>
      <c r="EB3" s="55"/>
      <c r="EC3" s="55"/>
    </row>
    <row r="4" spans="1:133" ht="22.05" customHeight="1" x14ac:dyDescent="0.4">
      <c r="A4" s="60"/>
      <c r="B4" s="2" t="s">
        <v>2</v>
      </c>
      <c r="C4" s="2" t="s">
        <v>3</v>
      </c>
      <c r="D4" s="2" t="s">
        <v>4</v>
      </c>
      <c r="E4" s="2" t="s">
        <v>5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2</v>
      </c>
      <c r="K4" s="2" t="s">
        <v>3</v>
      </c>
      <c r="L4" s="2" t="s">
        <v>4</v>
      </c>
      <c r="M4" s="2" t="s">
        <v>5</v>
      </c>
      <c r="N4" s="2" t="s">
        <v>2</v>
      </c>
      <c r="O4" s="2" t="s">
        <v>3</v>
      </c>
      <c r="P4" s="2" t="s">
        <v>4</v>
      </c>
      <c r="Q4" s="2" t="s">
        <v>5</v>
      </c>
      <c r="R4" s="2" t="s">
        <v>2</v>
      </c>
      <c r="S4" s="2" t="s">
        <v>3</v>
      </c>
      <c r="T4" s="2" t="s">
        <v>4</v>
      </c>
      <c r="U4" s="2" t="s">
        <v>5</v>
      </c>
      <c r="V4" s="2" t="s">
        <v>2</v>
      </c>
      <c r="W4" s="2" t="s">
        <v>3</v>
      </c>
      <c r="X4" s="2" t="s">
        <v>4</v>
      </c>
      <c r="Y4" s="2" t="s">
        <v>5</v>
      </c>
      <c r="Z4" s="2" t="s">
        <v>2</v>
      </c>
      <c r="AA4" s="2" t="s">
        <v>3</v>
      </c>
      <c r="AB4" s="2" t="s">
        <v>4</v>
      </c>
      <c r="AC4" s="2" t="s">
        <v>5</v>
      </c>
      <c r="AD4" s="2" t="s">
        <v>2</v>
      </c>
      <c r="AE4" s="2" t="s">
        <v>3</v>
      </c>
      <c r="AF4" s="2" t="s">
        <v>4</v>
      </c>
      <c r="AG4" s="2" t="s">
        <v>5</v>
      </c>
      <c r="AH4" s="2" t="s">
        <v>2</v>
      </c>
      <c r="AI4" s="2" t="s">
        <v>3</v>
      </c>
      <c r="AJ4" s="2" t="s">
        <v>4</v>
      </c>
      <c r="AK4" s="2" t="s">
        <v>5</v>
      </c>
      <c r="AL4" s="2" t="s">
        <v>2</v>
      </c>
      <c r="AM4" s="2" t="s">
        <v>3</v>
      </c>
      <c r="AN4" s="2" t="s">
        <v>4</v>
      </c>
      <c r="AO4" s="2" t="s">
        <v>5</v>
      </c>
      <c r="AP4" s="2" t="s">
        <v>2</v>
      </c>
      <c r="AQ4" s="2" t="s">
        <v>3</v>
      </c>
      <c r="AR4" s="2" t="s">
        <v>4</v>
      </c>
      <c r="AS4" s="2" t="s">
        <v>5</v>
      </c>
      <c r="AT4" s="2" t="s">
        <v>2</v>
      </c>
      <c r="AU4" s="2" t="s">
        <v>3</v>
      </c>
      <c r="AV4" s="2" t="s">
        <v>4</v>
      </c>
      <c r="AW4" s="2" t="s">
        <v>5</v>
      </c>
      <c r="AX4" s="2" t="s">
        <v>2</v>
      </c>
      <c r="AY4" s="2" t="s">
        <v>3</v>
      </c>
      <c r="AZ4" s="2" t="s">
        <v>4</v>
      </c>
      <c r="BA4" s="2" t="s">
        <v>5</v>
      </c>
      <c r="BB4" s="2" t="s">
        <v>2</v>
      </c>
      <c r="BC4" s="2" t="s">
        <v>3</v>
      </c>
      <c r="BD4" s="2" t="s">
        <v>4</v>
      </c>
      <c r="BE4" s="2" t="s">
        <v>5</v>
      </c>
      <c r="BF4" s="2" t="s">
        <v>2</v>
      </c>
      <c r="BG4" s="2" t="s">
        <v>3</v>
      </c>
      <c r="BH4" s="2" t="s">
        <v>4</v>
      </c>
      <c r="BI4" s="2" t="s">
        <v>5</v>
      </c>
      <c r="BJ4" s="2" t="s">
        <v>2</v>
      </c>
      <c r="BK4" s="2" t="s">
        <v>3</v>
      </c>
      <c r="BL4" s="2" t="s">
        <v>4</v>
      </c>
      <c r="BM4" s="2" t="s">
        <v>5</v>
      </c>
      <c r="BN4" s="2" t="s">
        <v>2</v>
      </c>
      <c r="BO4" s="2" t="s">
        <v>3</v>
      </c>
      <c r="BP4" s="2" t="s">
        <v>4</v>
      </c>
      <c r="BQ4" s="2" t="s">
        <v>5</v>
      </c>
      <c r="BR4" s="2" t="s">
        <v>2</v>
      </c>
      <c r="BS4" s="2" t="s">
        <v>3</v>
      </c>
      <c r="BT4" s="2" t="s">
        <v>4</v>
      </c>
      <c r="BU4" s="2" t="s">
        <v>5</v>
      </c>
      <c r="BV4" s="2" t="s">
        <v>2</v>
      </c>
      <c r="BW4" s="2" t="s">
        <v>3</v>
      </c>
      <c r="BX4" s="2" t="s">
        <v>4</v>
      </c>
      <c r="BY4" s="2" t="s">
        <v>5</v>
      </c>
      <c r="BZ4" s="2" t="s">
        <v>2</v>
      </c>
      <c r="CA4" s="2" t="s">
        <v>3</v>
      </c>
      <c r="CB4" s="2" t="s">
        <v>4</v>
      </c>
      <c r="CC4" s="2" t="s">
        <v>5</v>
      </c>
      <c r="CD4" s="2" t="s">
        <v>2</v>
      </c>
      <c r="CE4" s="2" t="s">
        <v>3</v>
      </c>
      <c r="CF4" s="2" t="s">
        <v>4</v>
      </c>
      <c r="CG4" s="2" t="s">
        <v>5</v>
      </c>
      <c r="CH4" s="2" t="s">
        <v>2</v>
      </c>
      <c r="CI4" s="2" t="s">
        <v>3</v>
      </c>
      <c r="CJ4" s="2" t="s">
        <v>4</v>
      </c>
      <c r="CK4" s="2" t="s">
        <v>5</v>
      </c>
      <c r="CL4" s="2" t="s">
        <v>2</v>
      </c>
      <c r="CM4" s="2" t="s">
        <v>3</v>
      </c>
      <c r="CN4" s="2" t="s">
        <v>4</v>
      </c>
      <c r="CO4" s="2" t="s">
        <v>5</v>
      </c>
      <c r="CP4" s="2" t="s">
        <v>2</v>
      </c>
      <c r="CQ4" s="2" t="s">
        <v>3</v>
      </c>
      <c r="CR4" s="2" t="s">
        <v>4</v>
      </c>
      <c r="CS4" s="2" t="s">
        <v>5</v>
      </c>
      <c r="CT4" s="2" t="s">
        <v>2</v>
      </c>
      <c r="CU4" s="2" t="s">
        <v>3</v>
      </c>
      <c r="CV4" s="2" t="s">
        <v>4</v>
      </c>
      <c r="CW4" s="2" t="s">
        <v>5</v>
      </c>
      <c r="CX4" s="2" t="s">
        <v>2</v>
      </c>
      <c r="CY4" s="2" t="s">
        <v>3</v>
      </c>
      <c r="CZ4" s="2" t="s">
        <v>4</v>
      </c>
      <c r="DA4" s="2" t="s">
        <v>5</v>
      </c>
      <c r="DB4" s="2" t="s">
        <v>2</v>
      </c>
      <c r="DC4" s="2" t="s">
        <v>3</v>
      </c>
      <c r="DD4" s="2" t="s">
        <v>4</v>
      </c>
      <c r="DE4" s="2" t="s">
        <v>5</v>
      </c>
      <c r="DF4" s="2" t="s">
        <v>2</v>
      </c>
      <c r="DG4" s="2" t="s">
        <v>3</v>
      </c>
      <c r="DH4" s="2" t="s">
        <v>4</v>
      </c>
      <c r="DI4" s="2" t="s">
        <v>5</v>
      </c>
      <c r="DJ4" s="2" t="s">
        <v>2</v>
      </c>
      <c r="DK4" s="2" t="s">
        <v>3</v>
      </c>
      <c r="DL4" s="2" t="s">
        <v>4</v>
      </c>
      <c r="DM4" s="2" t="s">
        <v>5</v>
      </c>
      <c r="DN4" s="2" t="s">
        <v>2</v>
      </c>
      <c r="DO4" s="2" t="s">
        <v>3</v>
      </c>
      <c r="DP4" s="2" t="s">
        <v>4</v>
      </c>
      <c r="DQ4" s="2" t="s">
        <v>5</v>
      </c>
      <c r="DR4" s="2" t="s">
        <v>2</v>
      </c>
      <c r="DS4" s="2" t="s">
        <v>3</v>
      </c>
      <c r="DT4" s="2" t="s">
        <v>4</v>
      </c>
      <c r="DU4" s="2" t="s">
        <v>5</v>
      </c>
      <c r="DV4" s="2" t="s">
        <v>2</v>
      </c>
      <c r="DW4" s="2" t="s">
        <v>3</v>
      </c>
      <c r="DX4" s="2" t="s">
        <v>4</v>
      </c>
      <c r="DY4" s="2" t="s">
        <v>5</v>
      </c>
      <c r="DZ4" s="2" t="s">
        <v>2</v>
      </c>
      <c r="EA4" s="2" t="s">
        <v>3</v>
      </c>
      <c r="EB4" s="2" t="s">
        <v>4</v>
      </c>
      <c r="EC4" s="2" t="s">
        <v>5</v>
      </c>
    </row>
    <row r="5" spans="1:133" x14ac:dyDescent="0.4">
      <c r="A5" s="3" t="s">
        <v>6</v>
      </c>
      <c r="B5" s="10">
        <v>4</v>
      </c>
      <c r="C5" s="11">
        <v>15312</v>
      </c>
      <c r="D5" s="11">
        <v>0</v>
      </c>
      <c r="E5" s="11">
        <v>0</v>
      </c>
      <c r="F5" s="10">
        <v>22</v>
      </c>
      <c r="G5" s="11">
        <v>141570</v>
      </c>
      <c r="H5" s="11">
        <v>0</v>
      </c>
      <c r="I5" s="11">
        <v>0</v>
      </c>
      <c r="J5" s="10">
        <v>0</v>
      </c>
      <c r="K5" s="11">
        <v>0</v>
      </c>
      <c r="L5" s="11">
        <v>0</v>
      </c>
      <c r="M5" s="11">
        <v>0</v>
      </c>
      <c r="N5" s="10">
        <v>20</v>
      </c>
      <c r="O5" s="11">
        <v>12870</v>
      </c>
      <c r="P5" s="11">
        <v>0</v>
      </c>
      <c r="Q5" s="11">
        <v>0</v>
      </c>
      <c r="R5" s="10">
        <v>340</v>
      </c>
      <c r="S5" s="11">
        <v>164560</v>
      </c>
      <c r="T5" s="11">
        <v>800</v>
      </c>
      <c r="U5" s="11">
        <v>387200</v>
      </c>
      <c r="V5" s="10">
        <v>2760</v>
      </c>
      <c r="W5" s="11">
        <v>1129392</v>
      </c>
      <c r="X5" s="11">
        <v>0</v>
      </c>
      <c r="Y5" s="11">
        <v>0</v>
      </c>
      <c r="Z5" s="10">
        <v>40</v>
      </c>
      <c r="AA5" s="11">
        <v>15400</v>
      </c>
      <c r="AB5" s="11">
        <v>0</v>
      </c>
      <c r="AC5" s="11">
        <v>0</v>
      </c>
      <c r="AD5" s="10">
        <v>0</v>
      </c>
      <c r="AE5" s="11">
        <v>0</v>
      </c>
      <c r="AF5" s="11">
        <v>0</v>
      </c>
      <c r="AG5" s="11">
        <v>0</v>
      </c>
      <c r="AH5" s="10">
        <v>200</v>
      </c>
      <c r="AI5" s="11">
        <v>64499</v>
      </c>
      <c r="AJ5" s="11">
        <v>0</v>
      </c>
      <c r="AK5" s="11">
        <v>0</v>
      </c>
      <c r="AL5" s="10">
        <v>31</v>
      </c>
      <c r="AM5" s="11">
        <v>219604</v>
      </c>
      <c r="AN5" s="11">
        <v>0</v>
      </c>
      <c r="AO5" s="11">
        <v>0</v>
      </c>
      <c r="AP5" s="10">
        <v>0</v>
      </c>
      <c r="AQ5" s="11">
        <v>0</v>
      </c>
      <c r="AR5" s="11">
        <v>0</v>
      </c>
      <c r="AS5" s="11">
        <v>0</v>
      </c>
      <c r="AT5" s="10">
        <v>55</v>
      </c>
      <c r="AU5" s="11">
        <v>68607</v>
      </c>
      <c r="AV5" s="11">
        <v>0</v>
      </c>
      <c r="AW5" s="11">
        <v>0</v>
      </c>
      <c r="AX5" s="10">
        <v>34650</v>
      </c>
      <c r="AY5" s="11">
        <v>14216895</v>
      </c>
      <c r="AZ5" s="11">
        <v>0</v>
      </c>
      <c r="BA5" s="11">
        <v>0</v>
      </c>
      <c r="BB5" s="10">
        <v>25480</v>
      </c>
      <c r="BC5" s="11">
        <v>10454444</v>
      </c>
      <c r="BD5" s="11">
        <v>0</v>
      </c>
      <c r="BE5" s="11">
        <v>0</v>
      </c>
      <c r="BF5" s="10">
        <v>240</v>
      </c>
      <c r="BG5" s="11">
        <v>154440</v>
      </c>
      <c r="BH5" s="11">
        <v>8000</v>
      </c>
      <c r="BI5" s="11">
        <v>5148000</v>
      </c>
      <c r="BJ5" s="10">
        <v>12930</v>
      </c>
      <c r="BK5" s="11">
        <v>7111500</v>
      </c>
      <c r="BL5" s="11">
        <v>0</v>
      </c>
      <c r="BM5" s="11">
        <v>0</v>
      </c>
      <c r="BN5" s="10">
        <v>580</v>
      </c>
      <c r="BO5" s="11">
        <v>904365</v>
      </c>
      <c r="BP5" s="11">
        <v>1072</v>
      </c>
      <c r="BQ5" s="11">
        <v>1671516</v>
      </c>
      <c r="BR5" s="10">
        <v>0</v>
      </c>
      <c r="BS5" s="11">
        <v>0</v>
      </c>
      <c r="BT5" s="11">
        <v>0</v>
      </c>
      <c r="BU5" s="11">
        <v>0</v>
      </c>
      <c r="BV5" s="10">
        <v>80</v>
      </c>
      <c r="BW5" s="11">
        <v>23320</v>
      </c>
      <c r="BX5" s="11">
        <v>0</v>
      </c>
      <c r="BY5" s="11">
        <v>0</v>
      </c>
      <c r="BZ5" s="10">
        <v>1250</v>
      </c>
      <c r="CA5" s="11">
        <v>286000</v>
      </c>
      <c r="CB5" s="11">
        <v>0</v>
      </c>
      <c r="CC5" s="11">
        <v>0</v>
      </c>
      <c r="CD5" s="10">
        <v>0</v>
      </c>
      <c r="CE5" s="11">
        <v>0</v>
      </c>
      <c r="CF5" s="11">
        <v>0</v>
      </c>
      <c r="CG5" s="11">
        <v>0</v>
      </c>
      <c r="CH5" s="10">
        <v>540</v>
      </c>
      <c r="CI5" s="11">
        <v>186020</v>
      </c>
      <c r="CJ5" s="11">
        <v>690</v>
      </c>
      <c r="CK5" s="11">
        <v>237694</v>
      </c>
      <c r="CL5" s="10">
        <v>1360</v>
      </c>
      <c r="CM5" s="11">
        <v>424116</v>
      </c>
      <c r="CN5" s="11">
        <v>0</v>
      </c>
      <c r="CO5" s="11">
        <v>0</v>
      </c>
      <c r="CP5" s="10">
        <v>9360</v>
      </c>
      <c r="CQ5" s="11">
        <v>2666664</v>
      </c>
      <c r="CR5" s="11">
        <v>0</v>
      </c>
      <c r="CS5" s="11">
        <v>0</v>
      </c>
      <c r="CT5" s="10">
        <v>3440</v>
      </c>
      <c r="CU5" s="11">
        <v>942216</v>
      </c>
      <c r="CV5" s="11">
        <v>0</v>
      </c>
      <c r="CW5" s="11">
        <v>0</v>
      </c>
      <c r="CX5" s="10">
        <v>0</v>
      </c>
      <c r="CY5" s="11">
        <v>0</v>
      </c>
      <c r="CZ5" s="11">
        <v>34</v>
      </c>
      <c r="DA5" s="11">
        <v>631873</v>
      </c>
      <c r="DB5" s="10">
        <v>380</v>
      </c>
      <c r="DC5" s="11">
        <v>179072</v>
      </c>
      <c r="DD5" s="11">
        <v>0</v>
      </c>
      <c r="DE5" s="11">
        <v>0</v>
      </c>
      <c r="DF5" s="10">
        <v>45</v>
      </c>
      <c r="DG5" s="11">
        <v>19110</v>
      </c>
      <c r="DH5" s="11">
        <v>0</v>
      </c>
      <c r="DI5" s="11">
        <v>0</v>
      </c>
      <c r="DJ5" s="10">
        <v>330</v>
      </c>
      <c r="DK5" s="11">
        <v>140141</v>
      </c>
      <c r="DL5" s="11">
        <v>900</v>
      </c>
      <c r="DM5" s="11">
        <v>382206</v>
      </c>
      <c r="DN5" s="10">
        <v>0</v>
      </c>
      <c r="DO5" s="11">
        <v>0</v>
      </c>
      <c r="DP5" s="11">
        <v>0</v>
      </c>
      <c r="DQ5" s="11">
        <v>0</v>
      </c>
      <c r="DR5" s="10">
        <v>94900</v>
      </c>
      <c r="DS5" s="11">
        <v>29594565</v>
      </c>
      <c r="DT5" s="11">
        <v>0</v>
      </c>
      <c r="DU5" s="11">
        <v>0</v>
      </c>
      <c r="DV5" s="10">
        <v>19480</v>
      </c>
      <c r="DW5" s="11">
        <v>4971296</v>
      </c>
      <c r="DX5" s="11">
        <v>0</v>
      </c>
      <c r="DY5" s="11">
        <v>0</v>
      </c>
      <c r="DZ5" s="10">
        <v>231300</v>
      </c>
      <c r="EA5" s="11">
        <v>59027760</v>
      </c>
      <c r="EB5" s="11">
        <v>0</v>
      </c>
      <c r="EC5" s="11">
        <v>0</v>
      </c>
    </row>
    <row r="6" spans="1:133" x14ac:dyDescent="0.4">
      <c r="A6" s="3" t="s">
        <v>8</v>
      </c>
      <c r="B6" s="10">
        <v>27</v>
      </c>
      <c r="C6" s="11">
        <v>103356</v>
      </c>
      <c r="D6" s="11">
        <v>576</v>
      </c>
      <c r="E6" s="11">
        <v>2204928</v>
      </c>
      <c r="F6" s="10">
        <v>103</v>
      </c>
      <c r="G6" s="11">
        <v>662805</v>
      </c>
      <c r="H6" s="11">
        <v>864</v>
      </c>
      <c r="I6" s="11">
        <v>5559840</v>
      </c>
      <c r="J6" s="10">
        <v>50</v>
      </c>
      <c r="K6" s="11">
        <v>32175</v>
      </c>
      <c r="L6" s="11">
        <v>12000</v>
      </c>
      <c r="M6" s="11">
        <v>7722000</v>
      </c>
      <c r="N6" s="10">
        <v>510</v>
      </c>
      <c r="O6" s="11">
        <v>328185</v>
      </c>
      <c r="P6" s="11">
        <v>12000</v>
      </c>
      <c r="Q6" s="11">
        <v>7722000</v>
      </c>
      <c r="R6" s="10">
        <v>1060</v>
      </c>
      <c r="S6" s="11">
        <v>513040</v>
      </c>
      <c r="T6" s="11">
        <v>3680</v>
      </c>
      <c r="U6" s="11">
        <v>1781120</v>
      </c>
      <c r="V6" s="10">
        <v>32640</v>
      </c>
      <c r="W6" s="11">
        <v>13356288</v>
      </c>
      <c r="X6" s="11">
        <v>162000</v>
      </c>
      <c r="Y6" s="11">
        <v>66290400</v>
      </c>
      <c r="Z6" s="10">
        <v>200</v>
      </c>
      <c r="AA6" s="11">
        <v>77000</v>
      </c>
      <c r="AB6" s="11">
        <v>92160</v>
      </c>
      <c r="AC6" s="11">
        <v>35481600</v>
      </c>
      <c r="AD6" s="10">
        <v>270</v>
      </c>
      <c r="AE6" s="11">
        <v>90406</v>
      </c>
      <c r="AF6" s="11">
        <v>58320</v>
      </c>
      <c r="AG6" s="11">
        <v>19527868</v>
      </c>
      <c r="AH6" s="10">
        <v>2160</v>
      </c>
      <c r="AI6" s="11">
        <v>696581</v>
      </c>
      <c r="AJ6" s="11">
        <v>21600</v>
      </c>
      <c r="AK6" s="11">
        <v>6965838</v>
      </c>
      <c r="AL6" s="10">
        <v>0</v>
      </c>
      <c r="AM6" s="11">
        <v>0</v>
      </c>
      <c r="AN6" s="11">
        <v>0</v>
      </c>
      <c r="AO6" s="11">
        <v>0</v>
      </c>
      <c r="AP6" s="10">
        <v>0</v>
      </c>
      <c r="AQ6" s="11">
        <v>0</v>
      </c>
      <c r="AR6" s="11">
        <v>0</v>
      </c>
      <c r="AS6" s="11">
        <v>0</v>
      </c>
      <c r="AT6" s="10">
        <v>740</v>
      </c>
      <c r="AU6" s="11">
        <v>923076</v>
      </c>
      <c r="AV6" s="11">
        <v>1150</v>
      </c>
      <c r="AW6" s="11">
        <v>1434510</v>
      </c>
      <c r="AX6" s="10">
        <v>404910</v>
      </c>
      <c r="AY6" s="11">
        <v>166134573</v>
      </c>
      <c r="AZ6" s="11">
        <v>543570</v>
      </c>
      <c r="BA6" s="11">
        <v>223026771</v>
      </c>
      <c r="BB6" s="10">
        <v>131080</v>
      </c>
      <c r="BC6" s="11">
        <v>53782124</v>
      </c>
      <c r="BD6" s="11">
        <v>391680</v>
      </c>
      <c r="BE6" s="11">
        <v>160706304</v>
      </c>
      <c r="BF6" s="10">
        <v>1820</v>
      </c>
      <c r="BG6" s="11">
        <v>1171170</v>
      </c>
      <c r="BH6" s="11">
        <v>12000</v>
      </c>
      <c r="BI6" s="11">
        <v>7722000</v>
      </c>
      <c r="BJ6" s="10">
        <v>34050</v>
      </c>
      <c r="BK6" s="11">
        <v>18727500</v>
      </c>
      <c r="BL6" s="11">
        <v>43200</v>
      </c>
      <c r="BM6" s="11">
        <v>23760000</v>
      </c>
      <c r="BN6" s="10">
        <v>352</v>
      </c>
      <c r="BO6" s="11">
        <v>548856</v>
      </c>
      <c r="BP6" s="11">
        <v>3120</v>
      </c>
      <c r="BQ6" s="11">
        <v>4864860</v>
      </c>
      <c r="BR6" s="10">
        <v>140</v>
      </c>
      <c r="BS6" s="11">
        <v>60807</v>
      </c>
      <c r="BT6" s="11">
        <v>0</v>
      </c>
      <c r="BU6" s="11">
        <v>0</v>
      </c>
      <c r="BV6" s="10">
        <v>920</v>
      </c>
      <c r="BW6" s="11">
        <v>268180</v>
      </c>
      <c r="BX6" s="11">
        <v>0</v>
      </c>
      <c r="BY6" s="11">
        <v>0</v>
      </c>
      <c r="BZ6" s="10">
        <v>3600</v>
      </c>
      <c r="CA6" s="11">
        <v>823680</v>
      </c>
      <c r="CB6" s="11">
        <v>24000</v>
      </c>
      <c r="CC6" s="11">
        <v>5491200</v>
      </c>
      <c r="CD6" s="10">
        <v>210</v>
      </c>
      <c r="CE6" s="11">
        <v>72338</v>
      </c>
      <c r="CF6" s="11">
        <v>0</v>
      </c>
      <c r="CG6" s="11">
        <v>0</v>
      </c>
      <c r="CH6" s="10">
        <v>3660</v>
      </c>
      <c r="CI6" s="11">
        <v>1260808</v>
      </c>
      <c r="CJ6" s="11">
        <v>6030</v>
      </c>
      <c r="CK6" s="11">
        <v>2077235</v>
      </c>
      <c r="CL6" s="10">
        <v>24580</v>
      </c>
      <c r="CM6" s="11">
        <v>7665273</v>
      </c>
      <c r="CN6" s="11">
        <v>96000</v>
      </c>
      <c r="CO6" s="11">
        <v>29937600</v>
      </c>
      <c r="CP6" s="10">
        <v>49290</v>
      </c>
      <c r="CQ6" s="11">
        <v>14042721</v>
      </c>
      <c r="CR6" s="11">
        <v>252000</v>
      </c>
      <c r="CS6" s="11">
        <v>71794800</v>
      </c>
      <c r="CT6" s="10">
        <v>6200</v>
      </c>
      <c r="CU6" s="11">
        <v>1698180</v>
      </c>
      <c r="CV6" s="11">
        <v>96000</v>
      </c>
      <c r="CW6" s="11">
        <v>26294400</v>
      </c>
      <c r="CX6" s="10">
        <v>0</v>
      </c>
      <c r="CY6" s="11">
        <v>0</v>
      </c>
      <c r="CZ6" s="11">
        <v>38</v>
      </c>
      <c r="DA6" s="11">
        <v>706211</v>
      </c>
      <c r="DB6" s="10">
        <v>740</v>
      </c>
      <c r="DC6" s="11">
        <v>348720</v>
      </c>
      <c r="DD6" s="11">
        <v>0</v>
      </c>
      <c r="DE6" s="11">
        <v>0</v>
      </c>
      <c r="DF6" s="10">
        <v>75</v>
      </c>
      <c r="DG6" s="11">
        <v>31850</v>
      </c>
      <c r="DH6" s="11">
        <v>45</v>
      </c>
      <c r="DI6" s="11">
        <v>19110</v>
      </c>
      <c r="DJ6" s="10">
        <v>705</v>
      </c>
      <c r="DK6" s="11">
        <v>299394</v>
      </c>
      <c r="DL6" s="11">
        <v>90</v>
      </c>
      <c r="DM6" s="11">
        <v>38220</v>
      </c>
      <c r="DN6" s="10">
        <v>1</v>
      </c>
      <c r="DO6" s="11">
        <v>16895</v>
      </c>
      <c r="DP6" s="11">
        <v>0</v>
      </c>
      <c r="DQ6" s="11">
        <v>0</v>
      </c>
      <c r="DR6" s="10">
        <v>297180</v>
      </c>
      <c r="DS6" s="11">
        <v>92675583</v>
      </c>
      <c r="DT6" s="11">
        <v>1145200</v>
      </c>
      <c r="DU6" s="11">
        <v>357130620</v>
      </c>
      <c r="DV6" s="10">
        <v>244560</v>
      </c>
      <c r="DW6" s="11">
        <v>62411712</v>
      </c>
      <c r="DX6" s="11">
        <v>993600</v>
      </c>
      <c r="DY6" s="11">
        <v>253566720</v>
      </c>
      <c r="DZ6" s="10">
        <v>1224050</v>
      </c>
      <c r="EA6" s="11">
        <v>312377560</v>
      </c>
      <c r="EB6" s="11">
        <v>972000</v>
      </c>
      <c r="EC6" s="11">
        <v>248054400</v>
      </c>
    </row>
    <row r="7" spans="1:133" x14ac:dyDescent="0.4">
      <c r="A7" s="3" t="s">
        <v>9</v>
      </c>
      <c r="B7" s="10">
        <v>44</v>
      </c>
      <c r="C7" s="11">
        <v>168432</v>
      </c>
      <c r="D7" s="11">
        <v>0</v>
      </c>
      <c r="E7" s="11">
        <v>0</v>
      </c>
      <c r="F7" s="10">
        <v>763</v>
      </c>
      <c r="G7" s="11">
        <v>4909905</v>
      </c>
      <c r="H7" s="11">
        <v>0</v>
      </c>
      <c r="I7" s="11">
        <v>0</v>
      </c>
      <c r="J7" s="10">
        <v>390</v>
      </c>
      <c r="K7" s="11">
        <v>250965</v>
      </c>
      <c r="L7" s="11">
        <v>0</v>
      </c>
      <c r="M7" s="11">
        <v>0</v>
      </c>
      <c r="N7" s="10">
        <v>1310</v>
      </c>
      <c r="O7" s="11">
        <v>842985</v>
      </c>
      <c r="P7" s="11">
        <v>0</v>
      </c>
      <c r="Q7" s="11">
        <v>0</v>
      </c>
      <c r="R7" s="10">
        <v>2980</v>
      </c>
      <c r="S7" s="11">
        <v>1442320</v>
      </c>
      <c r="T7" s="11">
        <v>0</v>
      </c>
      <c r="U7" s="11">
        <v>0</v>
      </c>
      <c r="V7" s="10">
        <v>136470</v>
      </c>
      <c r="W7" s="11">
        <v>55843524</v>
      </c>
      <c r="X7" s="11">
        <v>0</v>
      </c>
      <c r="Y7" s="11">
        <v>0</v>
      </c>
      <c r="Z7" s="10">
        <v>2000</v>
      </c>
      <c r="AA7" s="11">
        <v>770000</v>
      </c>
      <c r="AB7" s="11">
        <v>0</v>
      </c>
      <c r="AC7" s="11">
        <v>0</v>
      </c>
      <c r="AD7" s="10">
        <v>2370</v>
      </c>
      <c r="AE7" s="11">
        <v>793569</v>
      </c>
      <c r="AF7" s="11">
        <v>0</v>
      </c>
      <c r="AG7" s="11">
        <v>0</v>
      </c>
      <c r="AH7" s="10">
        <v>1560</v>
      </c>
      <c r="AI7" s="11">
        <v>503088</v>
      </c>
      <c r="AJ7" s="11">
        <v>0</v>
      </c>
      <c r="AK7" s="11">
        <v>0</v>
      </c>
      <c r="AL7" s="10">
        <v>0</v>
      </c>
      <c r="AM7" s="11">
        <v>0</v>
      </c>
      <c r="AN7" s="11">
        <v>0</v>
      </c>
      <c r="AO7" s="11">
        <v>0</v>
      </c>
      <c r="AP7" s="10">
        <v>0</v>
      </c>
      <c r="AQ7" s="11">
        <v>0</v>
      </c>
      <c r="AR7" s="11">
        <v>0</v>
      </c>
      <c r="AS7" s="11">
        <v>0</v>
      </c>
      <c r="AT7" s="10">
        <v>1155</v>
      </c>
      <c r="AU7" s="11">
        <v>1440747</v>
      </c>
      <c r="AV7" s="11">
        <v>960</v>
      </c>
      <c r="AW7" s="11">
        <v>1197504</v>
      </c>
      <c r="AX7" s="10">
        <v>529380</v>
      </c>
      <c r="AY7" s="11">
        <v>217204614</v>
      </c>
      <c r="AZ7" s="11">
        <v>0</v>
      </c>
      <c r="BA7" s="11">
        <v>0</v>
      </c>
      <c r="BB7" s="10">
        <v>144880</v>
      </c>
      <c r="BC7" s="11">
        <v>59444264</v>
      </c>
      <c r="BD7" s="11">
        <v>46080</v>
      </c>
      <c r="BE7" s="11">
        <v>18906624</v>
      </c>
      <c r="BF7" s="10">
        <v>21960</v>
      </c>
      <c r="BG7" s="11">
        <v>14131260</v>
      </c>
      <c r="BH7" s="11">
        <v>3640</v>
      </c>
      <c r="BI7" s="11">
        <v>2342340</v>
      </c>
      <c r="BJ7" s="10">
        <v>49335</v>
      </c>
      <c r="BK7" s="11">
        <v>27134250</v>
      </c>
      <c r="BL7" s="11">
        <v>33120</v>
      </c>
      <c r="BM7" s="11">
        <v>18216000</v>
      </c>
      <c r="BN7" s="10">
        <v>952</v>
      </c>
      <c r="BO7" s="11">
        <v>1484406</v>
      </c>
      <c r="BP7" s="11">
        <v>0</v>
      </c>
      <c r="BQ7" s="11">
        <v>0</v>
      </c>
      <c r="BR7" s="10">
        <v>40</v>
      </c>
      <c r="BS7" s="11">
        <v>17374</v>
      </c>
      <c r="BT7" s="11">
        <v>0</v>
      </c>
      <c r="BU7" s="11">
        <v>0</v>
      </c>
      <c r="BV7" s="10">
        <v>1200</v>
      </c>
      <c r="BW7" s="11">
        <v>349800</v>
      </c>
      <c r="BX7" s="11">
        <v>0</v>
      </c>
      <c r="BY7" s="11">
        <v>0</v>
      </c>
      <c r="BZ7" s="10">
        <v>3750</v>
      </c>
      <c r="CA7" s="11">
        <v>858000</v>
      </c>
      <c r="CB7" s="11">
        <v>0</v>
      </c>
      <c r="CC7" s="11">
        <v>0</v>
      </c>
      <c r="CD7" s="10">
        <v>270</v>
      </c>
      <c r="CE7" s="11">
        <v>93011</v>
      </c>
      <c r="CF7" s="11">
        <v>0</v>
      </c>
      <c r="CG7" s="11">
        <v>0</v>
      </c>
      <c r="CH7" s="10">
        <v>6000</v>
      </c>
      <c r="CI7" s="11">
        <v>2066902</v>
      </c>
      <c r="CJ7" s="11">
        <v>2490</v>
      </c>
      <c r="CK7" s="11">
        <v>857764</v>
      </c>
      <c r="CL7" s="10">
        <v>37240</v>
      </c>
      <c r="CM7" s="11">
        <v>11613294</v>
      </c>
      <c r="CN7" s="11">
        <v>0</v>
      </c>
      <c r="CO7" s="11">
        <v>0</v>
      </c>
      <c r="CP7" s="10">
        <v>50880</v>
      </c>
      <c r="CQ7" s="11">
        <v>14495712</v>
      </c>
      <c r="CR7" s="11">
        <v>0</v>
      </c>
      <c r="CS7" s="11">
        <v>0</v>
      </c>
      <c r="CT7" s="10">
        <v>5000</v>
      </c>
      <c r="CU7" s="11">
        <v>1369500</v>
      </c>
      <c r="CV7" s="11">
        <v>0</v>
      </c>
      <c r="CW7" s="11">
        <v>0</v>
      </c>
      <c r="CX7" s="10">
        <v>0</v>
      </c>
      <c r="CY7" s="11">
        <v>0</v>
      </c>
      <c r="CZ7" s="11">
        <v>0</v>
      </c>
      <c r="DA7" s="11">
        <v>0</v>
      </c>
      <c r="DB7" s="10">
        <v>440</v>
      </c>
      <c r="DC7" s="11">
        <v>207347</v>
      </c>
      <c r="DD7" s="11">
        <v>0</v>
      </c>
      <c r="DE7" s="11">
        <v>0</v>
      </c>
      <c r="DF7" s="10">
        <v>60</v>
      </c>
      <c r="DG7" s="11">
        <v>25480</v>
      </c>
      <c r="DH7" s="11">
        <v>0</v>
      </c>
      <c r="DI7" s="11">
        <v>0</v>
      </c>
      <c r="DJ7" s="10">
        <v>1515</v>
      </c>
      <c r="DK7" s="11">
        <v>643378</v>
      </c>
      <c r="DL7" s="11">
        <v>2340</v>
      </c>
      <c r="DM7" s="11">
        <v>993736</v>
      </c>
      <c r="DN7" s="10">
        <v>0</v>
      </c>
      <c r="DO7" s="11">
        <v>0</v>
      </c>
      <c r="DP7" s="11">
        <v>0</v>
      </c>
      <c r="DQ7" s="11">
        <v>0</v>
      </c>
      <c r="DR7" s="10">
        <v>564400</v>
      </c>
      <c r="DS7" s="11">
        <v>176008140</v>
      </c>
      <c r="DT7" s="11">
        <v>0</v>
      </c>
      <c r="DU7" s="11">
        <v>0</v>
      </c>
      <c r="DV7" s="10">
        <v>275440</v>
      </c>
      <c r="DW7" s="11">
        <v>70292288</v>
      </c>
      <c r="DX7" s="11">
        <v>0</v>
      </c>
      <c r="DY7" s="11">
        <v>0</v>
      </c>
      <c r="DZ7" s="10">
        <v>1381700</v>
      </c>
      <c r="EA7" s="11">
        <v>352609840</v>
      </c>
      <c r="EB7" s="11">
        <v>1178250</v>
      </c>
      <c r="EC7" s="11">
        <v>300689400</v>
      </c>
    </row>
    <row r="8" spans="1:133" x14ac:dyDescent="0.4">
      <c r="A8" s="3" t="s">
        <v>10</v>
      </c>
      <c r="B8" s="10">
        <v>97</v>
      </c>
      <c r="C8" s="11">
        <v>371316</v>
      </c>
      <c r="D8" s="11">
        <v>0</v>
      </c>
      <c r="E8" s="11">
        <v>0</v>
      </c>
      <c r="F8" s="10">
        <v>1373</v>
      </c>
      <c r="G8" s="11">
        <v>8835255</v>
      </c>
      <c r="H8" s="11">
        <v>90</v>
      </c>
      <c r="I8" s="11">
        <v>579150</v>
      </c>
      <c r="J8" s="10">
        <v>7410</v>
      </c>
      <c r="K8" s="11">
        <v>4768335</v>
      </c>
      <c r="L8" s="11">
        <v>0</v>
      </c>
      <c r="M8" s="11">
        <v>0</v>
      </c>
      <c r="N8" s="10">
        <v>16940</v>
      </c>
      <c r="O8" s="11">
        <v>10900890</v>
      </c>
      <c r="P8" s="11">
        <v>6000</v>
      </c>
      <c r="Q8" s="11">
        <v>3861000</v>
      </c>
      <c r="R8" s="10">
        <v>1000</v>
      </c>
      <c r="S8" s="11">
        <v>484000</v>
      </c>
      <c r="T8" s="11">
        <v>800</v>
      </c>
      <c r="U8" s="11">
        <v>387200</v>
      </c>
      <c r="V8" s="10">
        <v>65370</v>
      </c>
      <c r="W8" s="11">
        <v>26749404</v>
      </c>
      <c r="X8" s="11">
        <v>0</v>
      </c>
      <c r="Y8" s="11">
        <v>0</v>
      </c>
      <c r="Z8" s="10">
        <v>91600</v>
      </c>
      <c r="AA8" s="11">
        <v>35266000</v>
      </c>
      <c r="AB8" s="11">
        <v>0</v>
      </c>
      <c r="AC8" s="11">
        <v>0</v>
      </c>
      <c r="AD8" s="10">
        <v>4650</v>
      </c>
      <c r="AE8" s="11">
        <v>1557006</v>
      </c>
      <c r="AF8" s="11">
        <v>0</v>
      </c>
      <c r="AG8" s="11">
        <v>0</v>
      </c>
      <c r="AH8" s="10">
        <v>1280</v>
      </c>
      <c r="AI8" s="11">
        <v>412789</v>
      </c>
      <c r="AJ8" s="11">
        <v>0</v>
      </c>
      <c r="AK8" s="11">
        <v>0</v>
      </c>
      <c r="AL8" s="10">
        <v>2</v>
      </c>
      <c r="AM8" s="11">
        <v>14168</v>
      </c>
      <c r="AN8" s="11">
        <v>0</v>
      </c>
      <c r="AO8" s="11">
        <v>0</v>
      </c>
      <c r="AP8" s="10">
        <v>0</v>
      </c>
      <c r="AQ8" s="11">
        <v>0</v>
      </c>
      <c r="AR8" s="11">
        <v>0</v>
      </c>
      <c r="AS8" s="11">
        <v>0</v>
      </c>
      <c r="AT8" s="10">
        <v>45</v>
      </c>
      <c r="AU8" s="11">
        <v>56133</v>
      </c>
      <c r="AV8" s="11">
        <v>0</v>
      </c>
      <c r="AW8" s="11">
        <v>0</v>
      </c>
      <c r="AX8" s="10">
        <v>337380</v>
      </c>
      <c r="AY8" s="11">
        <v>138427014</v>
      </c>
      <c r="AZ8" s="11">
        <v>144000</v>
      </c>
      <c r="BA8" s="11">
        <v>59083200</v>
      </c>
      <c r="BB8" s="10">
        <v>168400</v>
      </c>
      <c r="BC8" s="11">
        <v>69094520</v>
      </c>
      <c r="BD8" s="11">
        <v>0</v>
      </c>
      <c r="BE8" s="11">
        <v>0</v>
      </c>
      <c r="BF8" s="10">
        <v>6280</v>
      </c>
      <c r="BG8" s="11">
        <v>4041180</v>
      </c>
      <c r="BH8" s="11">
        <v>6000</v>
      </c>
      <c r="BI8" s="11">
        <v>3861000</v>
      </c>
      <c r="BJ8" s="10">
        <v>42345</v>
      </c>
      <c r="BK8" s="11">
        <v>23289750</v>
      </c>
      <c r="BL8" s="11">
        <v>28800</v>
      </c>
      <c r="BM8" s="11">
        <v>15840000</v>
      </c>
      <c r="BN8" s="10">
        <v>644</v>
      </c>
      <c r="BO8" s="11">
        <v>1004157</v>
      </c>
      <c r="BP8" s="11">
        <v>0</v>
      </c>
      <c r="BQ8" s="11">
        <v>0</v>
      </c>
      <c r="BR8" s="10">
        <v>240</v>
      </c>
      <c r="BS8" s="11">
        <v>104242</v>
      </c>
      <c r="BT8" s="11">
        <v>0</v>
      </c>
      <c r="BU8" s="11">
        <v>0</v>
      </c>
      <c r="BV8" s="10">
        <v>760</v>
      </c>
      <c r="BW8" s="11">
        <v>221540</v>
      </c>
      <c r="BX8" s="11">
        <v>0</v>
      </c>
      <c r="BY8" s="11">
        <v>0</v>
      </c>
      <c r="BZ8" s="10">
        <v>4650</v>
      </c>
      <c r="CA8" s="11">
        <v>1063920</v>
      </c>
      <c r="CB8" s="11">
        <v>0</v>
      </c>
      <c r="CC8" s="11">
        <v>0</v>
      </c>
      <c r="CD8" s="10">
        <v>1800</v>
      </c>
      <c r="CE8" s="11">
        <v>620066</v>
      </c>
      <c r="CF8" s="11">
        <v>0</v>
      </c>
      <c r="CG8" s="11">
        <v>0</v>
      </c>
      <c r="CH8" s="10">
        <v>1080</v>
      </c>
      <c r="CI8" s="11">
        <v>372041</v>
      </c>
      <c r="CJ8" s="11">
        <v>1350</v>
      </c>
      <c r="CK8" s="11">
        <v>465053</v>
      </c>
      <c r="CL8" s="10">
        <v>11860</v>
      </c>
      <c r="CM8" s="11">
        <v>3698541</v>
      </c>
      <c r="CN8" s="11">
        <v>0</v>
      </c>
      <c r="CO8" s="11">
        <v>0</v>
      </c>
      <c r="CP8" s="10">
        <v>17820</v>
      </c>
      <c r="CQ8" s="11">
        <v>5076918</v>
      </c>
      <c r="CR8" s="11">
        <v>0</v>
      </c>
      <c r="CS8" s="11">
        <v>0</v>
      </c>
      <c r="CT8" s="10">
        <v>4320</v>
      </c>
      <c r="CU8" s="11">
        <v>1183248</v>
      </c>
      <c r="CV8" s="11">
        <v>0</v>
      </c>
      <c r="CW8" s="11">
        <v>0</v>
      </c>
      <c r="CX8" s="10">
        <v>2</v>
      </c>
      <c r="CY8" s="11">
        <v>37168</v>
      </c>
      <c r="CZ8" s="11">
        <v>0</v>
      </c>
      <c r="DA8" s="11">
        <v>0</v>
      </c>
      <c r="DB8" s="10">
        <v>1180</v>
      </c>
      <c r="DC8" s="11">
        <v>556066</v>
      </c>
      <c r="DD8" s="11">
        <v>0</v>
      </c>
      <c r="DE8" s="11">
        <v>0</v>
      </c>
      <c r="DF8" s="10">
        <v>15</v>
      </c>
      <c r="DG8" s="11">
        <v>6370</v>
      </c>
      <c r="DH8" s="11">
        <v>0</v>
      </c>
      <c r="DI8" s="11">
        <v>0</v>
      </c>
      <c r="DJ8" s="10">
        <v>2430</v>
      </c>
      <c r="DK8" s="11">
        <v>1031952</v>
      </c>
      <c r="DL8" s="11">
        <v>2730</v>
      </c>
      <c r="DM8" s="11">
        <v>1159358</v>
      </c>
      <c r="DN8" s="10">
        <v>1</v>
      </c>
      <c r="DO8" s="11">
        <v>16895</v>
      </c>
      <c r="DP8" s="11">
        <v>0</v>
      </c>
      <c r="DQ8" s="11">
        <v>0</v>
      </c>
      <c r="DR8" s="10">
        <v>383240</v>
      </c>
      <c r="DS8" s="11">
        <v>119513394</v>
      </c>
      <c r="DT8" s="11">
        <v>230400</v>
      </c>
      <c r="DU8" s="11">
        <v>71850240</v>
      </c>
      <c r="DV8" s="10">
        <v>671960</v>
      </c>
      <c r="DW8" s="11">
        <v>171484192</v>
      </c>
      <c r="DX8" s="11">
        <v>0</v>
      </c>
      <c r="DY8" s="11">
        <v>0</v>
      </c>
      <c r="DZ8" s="10">
        <v>461500</v>
      </c>
      <c r="EA8" s="11">
        <v>117774800</v>
      </c>
      <c r="EB8" s="11">
        <v>427000</v>
      </c>
      <c r="EC8" s="11">
        <v>108970400</v>
      </c>
    </row>
    <row r="9" spans="1:133" x14ac:dyDescent="0.4">
      <c r="A9" s="3" t="s">
        <v>11</v>
      </c>
      <c r="B9" s="10">
        <v>42</v>
      </c>
      <c r="C9" s="11">
        <v>160776</v>
      </c>
      <c r="D9" s="11">
        <v>0</v>
      </c>
      <c r="E9" s="11">
        <v>0</v>
      </c>
      <c r="F9" s="10">
        <v>81</v>
      </c>
      <c r="G9" s="11">
        <v>521235</v>
      </c>
      <c r="H9" s="11">
        <v>0</v>
      </c>
      <c r="I9" s="11">
        <v>0</v>
      </c>
      <c r="J9" s="10">
        <v>9640</v>
      </c>
      <c r="K9" s="11">
        <v>6203340</v>
      </c>
      <c r="L9" s="11">
        <v>0</v>
      </c>
      <c r="M9" s="11">
        <v>0</v>
      </c>
      <c r="N9" s="10">
        <v>5680</v>
      </c>
      <c r="O9" s="11">
        <v>3655080</v>
      </c>
      <c r="P9" s="11">
        <v>0</v>
      </c>
      <c r="Q9" s="11">
        <v>0</v>
      </c>
      <c r="R9" s="10">
        <v>1400</v>
      </c>
      <c r="S9" s="11">
        <v>677600</v>
      </c>
      <c r="T9" s="11">
        <v>2000</v>
      </c>
      <c r="U9" s="11">
        <v>968000</v>
      </c>
      <c r="V9" s="10">
        <v>91170</v>
      </c>
      <c r="W9" s="11">
        <v>37306764</v>
      </c>
      <c r="X9" s="11">
        <v>0</v>
      </c>
      <c r="Y9" s="11">
        <v>0</v>
      </c>
      <c r="Z9" s="10">
        <v>70120</v>
      </c>
      <c r="AA9" s="11">
        <v>26996200</v>
      </c>
      <c r="AB9" s="11">
        <v>0</v>
      </c>
      <c r="AC9" s="11">
        <v>0</v>
      </c>
      <c r="AD9" s="10">
        <v>5910</v>
      </c>
      <c r="AE9" s="11">
        <v>1978901</v>
      </c>
      <c r="AF9" s="11">
        <v>0</v>
      </c>
      <c r="AG9" s="11">
        <v>0</v>
      </c>
      <c r="AH9" s="10">
        <v>6080</v>
      </c>
      <c r="AI9" s="11">
        <v>1960751</v>
      </c>
      <c r="AJ9" s="11">
        <v>0</v>
      </c>
      <c r="AK9" s="11">
        <v>0</v>
      </c>
      <c r="AL9" s="10">
        <v>2</v>
      </c>
      <c r="AM9" s="11">
        <v>14168</v>
      </c>
      <c r="AN9" s="11">
        <v>0</v>
      </c>
      <c r="AO9" s="11">
        <v>0</v>
      </c>
      <c r="AP9" s="10">
        <v>0</v>
      </c>
      <c r="AQ9" s="11">
        <v>0</v>
      </c>
      <c r="AR9" s="11">
        <v>0</v>
      </c>
      <c r="AS9" s="11">
        <v>0</v>
      </c>
      <c r="AT9" s="10">
        <v>230</v>
      </c>
      <c r="AU9" s="11">
        <v>286902</v>
      </c>
      <c r="AV9" s="11">
        <v>0</v>
      </c>
      <c r="AW9" s="11">
        <v>0</v>
      </c>
      <c r="AX9" s="10">
        <v>86880</v>
      </c>
      <c r="AY9" s="11">
        <v>35646864</v>
      </c>
      <c r="AZ9" s="11">
        <v>50400</v>
      </c>
      <c r="BA9" s="11">
        <v>20679120</v>
      </c>
      <c r="BB9" s="10">
        <v>93520</v>
      </c>
      <c r="BC9" s="11">
        <v>38371256</v>
      </c>
      <c r="BD9" s="11">
        <v>0</v>
      </c>
      <c r="BE9" s="11">
        <v>0</v>
      </c>
      <c r="BF9" s="10">
        <v>0</v>
      </c>
      <c r="BG9" s="11">
        <v>0</v>
      </c>
      <c r="BH9" s="11">
        <v>0</v>
      </c>
      <c r="BI9" s="11">
        <v>0</v>
      </c>
      <c r="BJ9" s="10">
        <v>11010</v>
      </c>
      <c r="BK9" s="11">
        <v>6055500</v>
      </c>
      <c r="BL9" s="11">
        <v>0</v>
      </c>
      <c r="BM9" s="11">
        <v>0</v>
      </c>
      <c r="BN9" s="10">
        <v>1204</v>
      </c>
      <c r="BO9" s="11">
        <v>1877337</v>
      </c>
      <c r="BP9" s="11">
        <v>0</v>
      </c>
      <c r="BQ9" s="11">
        <v>0</v>
      </c>
      <c r="BR9" s="10">
        <v>460</v>
      </c>
      <c r="BS9" s="11">
        <v>199796</v>
      </c>
      <c r="BT9" s="11">
        <v>0</v>
      </c>
      <c r="BU9" s="11">
        <v>0</v>
      </c>
      <c r="BV9" s="10">
        <v>720</v>
      </c>
      <c r="BW9" s="11">
        <v>209880</v>
      </c>
      <c r="BX9" s="11">
        <v>0</v>
      </c>
      <c r="BY9" s="11">
        <v>0</v>
      </c>
      <c r="BZ9" s="10">
        <v>6300</v>
      </c>
      <c r="CA9" s="11">
        <v>1441440</v>
      </c>
      <c r="CB9" s="11">
        <v>0</v>
      </c>
      <c r="CC9" s="11">
        <v>0</v>
      </c>
      <c r="CD9" s="10">
        <v>1500</v>
      </c>
      <c r="CE9" s="11">
        <v>516721</v>
      </c>
      <c r="CF9" s="11">
        <v>0</v>
      </c>
      <c r="CG9" s="11">
        <v>0</v>
      </c>
      <c r="CH9" s="10">
        <v>270</v>
      </c>
      <c r="CI9" s="11">
        <v>93009</v>
      </c>
      <c r="CJ9" s="11">
        <v>360</v>
      </c>
      <c r="CK9" s="11">
        <v>124013</v>
      </c>
      <c r="CL9" s="10">
        <v>15400</v>
      </c>
      <c r="CM9" s="11">
        <v>4802490</v>
      </c>
      <c r="CN9" s="11">
        <v>0</v>
      </c>
      <c r="CO9" s="11">
        <v>0</v>
      </c>
      <c r="CP9" s="10">
        <v>70710</v>
      </c>
      <c r="CQ9" s="11">
        <v>20145279</v>
      </c>
      <c r="CR9" s="11">
        <v>0</v>
      </c>
      <c r="CS9" s="11">
        <v>0</v>
      </c>
      <c r="CT9" s="10">
        <v>5240</v>
      </c>
      <c r="CU9" s="11">
        <v>1435236</v>
      </c>
      <c r="CV9" s="11">
        <v>0</v>
      </c>
      <c r="CW9" s="11">
        <v>0</v>
      </c>
      <c r="CX9" s="10">
        <v>0</v>
      </c>
      <c r="CY9" s="11">
        <v>0</v>
      </c>
      <c r="CZ9" s="11">
        <v>0</v>
      </c>
      <c r="DA9" s="11">
        <v>0</v>
      </c>
      <c r="DB9" s="10">
        <v>1020</v>
      </c>
      <c r="DC9" s="11">
        <v>480667</v>
      </c>
      <c r="DD9" s="11">
        <v>0</v>
      </c>
      <c r="DE9" s="11">
        <v>0</v>
      </c>
      <c r="DF9" s="10">
        <v>15</v>
      </c>
      <c r="DG9" s="11">
        <v>6370</v>
      </c>
      <c r="DH9" s="11">
        <v>0</v>
      </c>
      <c r="DI9" s="11">
        <v>0</v>
      </c>
      <c r="DJ9" s="10">
        <v>2565</v>
      </c>
      <c r="DK9" s="11">
        <v>1089284</v>
      </c>
      <c r="DL9" s="11">
        <v>2580</v>
      </c>
      <c r="DM9" s="11">
        <v>1095658</v>
      </c>
      <c r="DN9" s="10">
        <v>1</v>
      </c>
      <c r="DO9" s="11">
        <v>16895</v>
      </c>
      <c r="DP9" s="11">
        <v>0</v>
      </c>
      <c r="DQ9" s="11">
        <v>0</v>
      </c>
      <c r="DR9" s="10">
        <v>161180</v>
      </c>
      <c r="DS9" s="11">
        <v>50263983</v>
      </c>
      <c r="DT9" s="11">
        <v>144000</v>
      </c>
      <c r="DU9" s="11">
        <v>44906400</v>
      </c>
      <c r="DV9" s="10">
        <v>485440</v>
      </c>
      <c r="DW9" s="11">
        <v>123884288</v>
      </c>
      <c r="DX9" s="11">
        <v>0</v>
      </c>
      <c r="DY9" s="11">
        <v>0</v>
      </c>
      <c r="DZ9" s="10">
        <v>172900</v>
      </c>
      <c r="EA9" s="11">
        <v>44124080</v>
      </c>
      <c r="EB9" s="11">
        <v>60000</v>
      </c>
      <c r="EC9" s="11">
        <v>15312000</v>
      </c>
    </row>
    <row r="10" spans="1:133" x14ac:dyDescent="0.4">
      <c r="A10" s="3" t="s">
        <v>12</v>
      </c>
      <c r="B10" s="10">
        <v>7</v>
      </c>
      <c r="C10" s="11">
        <v>26796</v>
      </c>
      <c r="D10" s="11">
        <v>0</v>
      </c>
      <c r="E10" s="11">
        <v>0</v>
      </c>
      <c r="F10" s="10">
        <v>0</v>
      </c>
      <c r="G10" s="11">
        <v>0</v>
      </c>
      <c r="H10" s="11">
        <v>0</v>
      </c>
      <c r="I10" s="11">
        <v>0</v>
      </c>
      <c r="J10" s="10">
        <v>80</v>
      </c>
      <c r="K10" s="11">
        <v>51480</v>
      </c>
      <c r="L10" s="11">
        <v>0</v>
      </c>
      <c r="M10" s="11">
        <v>0</v>
      </c>
      <c r="N10" s="10">
        <v>10</v>
      </c>
      <c r="O10" s="11">
        <v>6435</v>
      </c>
      <c r="P10" s="11">
        <v>0</v>
      </c>
      <c r="Q10" s="11">
        <v>0</v>
      </c>
      <c r="R10" s="10">
        <v>1440</v>
      </c>
      <c r="S10" s="11">
        <v>696960</v>
      </c>
      <c r="T10" s="11">
        <v>680</v>
      </c>
      <c r="U10" s="11">
        <v>329120</v>
      </c>
      <c r="V10" s="10">
        <v>20970</v>
      </c>
      <c r="W10" s="11">
        <v>8580924</v>
      </c>
      <c r="X10" s="11">
        <v>0</v>
      </c>
      <c r="Y10" s="11">
        <v>0</v>
      </c>
      <c r="Z10" s="10">
        <v>13400</v>
      </c>
      <c r="AA10" s="11">
        <v>5159000</v>
      </c>
      <c r="AB10" s="11">
        <v>0</v>
      </c>
      <c r="AC10" s="11">
        <v>0</v>
      </c>
      <c r="AD10" s="10">
        <v>10080</v>
      </c>
      <c r="AE10" s="11">
        <v>3375190</v>
      </c>
      <c r="AF10" s="11">
        <v>0</v>
      </c>
      <c r="AG10" s="11">
        <v>0</v>
      </c>
      <c r="AH10" s="10">
        <v>13640</v>
      </c>
      <c r="AI10" s="11">
        <v>4398800</v>
      </c>
      <c r="AJ10" s="11">
        <v>0</v>
      </c>
      <c r="AK10" s="11">
        <v>0</v>
      </c>
      <c r="AL10" s="10">
        <v>9</v>
      </c>
      <c r="AM10" s="11">
        <v>63756</v>
      </c>
      <c r="AN10" s="11">
        <v>0</v>
      </c>
      <c r="AO10" s="11">
        <v>0</v>
      </c>
      <c r="AP10" s="10">
        <v>2</v>
      </c>
      <c r="AQ10" s="11">
        <v>49999</v>
      </c>
      <c r="AR10" s="11">
        <v>0</v>
      </c>
      <c r="AS10" s="11">
        <v>0</v>
      </c>
      <c r="AT10" s="10">
        <v>90</v>
      </c>
      <c r="AU10" s="11">
        <v>112266</v>
      </c>
      <c r="AV10" s="11">
        <v>0</v>
      </c>
      <c r="AW10" s="11">
        <v>0</v>
      </c>
      <c r="AX10" s="10">
        <v>0</v>
      </c>
      <c r="AY10" s="11">
        <v>0</v>
      </c>
      <c r="AZ10" s="11">
        <v>0</v>
      </c>
      <c r="BA10" s="11">
        <v>0</v>
      </c>
      <c r="BB10" s="10">
        <v>22760</v>
      </c>
      <c r="BC10" s="11">
        <v>9338428</v>
      </c>
      <c r="BD10" s="11">
        <v>0</v>
      </c>
      <c r="BE10" s="11">
        <v>0</v>
      </c>
      <c r="BF10" s="10">
        <v>0</v>
      </c>
      <c r="BG10" s="11">
        <v>0</v>
      </c>
      <c r="BH10" s="11">
        <v>0</v>
      </c>
      <c r="BI10" s="11">
        <v>0</v>
      </c>
      <c r="BJ10" s="10">
        <v>0</v>
      </c>
      <c r="BK10" s="11">
        <v>0</v>
      </c>
      <c r="BL10" s="11">
        <v>0</v>
      </c>
      <c r="BM10" s="11">
        <v>0</v>
      </c>
      <c r="BN10" s="10">
        <v>592</v>
      </c>
      <c r="BO10" s="11">
        <v>923076</v>
      </c>
      <c r="BP10" s="11">
        <v>0</v>
      </c>
      <c r="BQ10" s="11">
        <v>0</v>
      </c>
      <c r="BR10" s="10">
        <v>40</v>
      </c>
      <c r="BS10" s="11">
        <v>17374</v>
      </c>
      <c r="BT10" s="11">
        <v>0</v>
      </c>
      <c r="BU10" s="11">
        <v>0</v>
      </c>
      <c r="BV10" s="10">
        <v>120</v>
      </c>
      <c r="BW10" s="11">
        <v>34980</v>
      </c>
      <c r="BX10" s="11">
        <v>0</v>
      </c>
      <c r="BY10" s="11">
        <v>0</v>
      </c>
      <c r="BZ10" s="10">
        <v>2450</v>
      </c>
      <c r="CA10" s="11">
        <v>560560</v>
      </c>
      <c r="CB10" s="11">
        <v>0</v>
      </c>
      <c r="CC10" s="11">
        <v>0</v>
      </c>
      <c r="CD10" s="10">
        <v>2430</v>
      </c>
      <c r="CE10" s="11">
        <v>837093</v>
      </c>
      <c r="CF10" s="11">
        <v>0</v>
      </c>
      <c r="CG10" s="11">
        <v>0</v>
      </c>
      <c r="CH10" s="10">
        <v>360</v>
      </c>
      <c r="CI10" s="11">
        <v>124014</v>
      </c>
      <c r="CJ10" s="11">
        <v>0</v>
      </c>
      <c r="CK10" s="11">
        <v>0</v>
      </c>
      <c r="CL10" s="10">
        <v>24560</v>
      </c>
      <c r="CM10" s="11">
        <v>7659036</v>
      </c>
      <c r="CN10" s="11">
        <v>0</v>
      </c>
      <c r="CO10" s="11">
        <v>0</v>
      </c>
      <c r="CP10" s="10">
        <v>93240</v>
      </c>
      <c r="CQ10" s="11">
        <v>26564076</v>
      </c>
      <c r="CR10" s="11">
        <v>0</v>
      </c>
      <c r="CS10" s="11">
        <v>0</v>
      </c>
      <c r="CT10" s="10">
        <v>1480</v>
      </c>
      <c r="CU10" s="11">
        <v>405372</v>
      </c>
      <c r="CV10" s="11">
        <v>0</v>
      </c>
      <c r="CW10" s="11">
        <v>0</v>
      </c>
      <c r="CX10" s="10">
        <v>1</v>
      </c>
      <c r="CY10" s="11">
        <v>18584</v>
      </c>
      <c r="CZ10" s="11">
        <v>0</v>
      </c>
      <c r="DA10" s="11">
        <v>0</v>
      </c>
      <c r="DB10" s="10">
        <v>4080</v>
      </c>
      <c r="DC10" s="11">
        <v>1922659</v>
      </c>
      <c r="DD10" s="11">
        <v>9600</v>
      </c>
      <c r="DE10" s="11">
        <v>4523904</v>
      </c>
      <c r="DF10" s="10">
        <v>60</v>
      </c>
      <c r="DG10" s="11">
        <v>25480</v>
      </c>
      <c r="DH10" s="11">
        <v>0</v>
      </c>
      <c r="DI10" s="11">
        <v>0</v>
      </c>
      <c r="DJ10" s="10">
        <v>1410</v>
      </c>
      <c r="DK10" s="11">
        <v>598789</v>
      </c>
      <c r="DL10" s="11">
        <v>0</v>
      </c>
      <c r="DM10" s="11">
        <v>0</v>
      </c>
      <c r="DN10" s="10">
        <v>0</v>
      </c>
      <c r="DO10" s="11">
        <v>0</v>
      </c>
      <c r="DP10" s="11">
        <v>0</v>
      </c>
      <c r="DQ10" s="11">
        <v>0</v>
      </c>
      <c r="DR10" s="10">
        <v>21360</v>
      </c>
      <c r="DS10" s="11">
        <v>6661116</v>
      </c>
      <c r="DT10" s="11">
        <v>19880</v>
      </c>
      <c r="DU10" s="11">
        <v>6199578</v>
      </c>
      <c r="DV10" s="10">
        <v>600</v>
      </c>
      <c r="DW10" s="11">
        <v>153120</v>
      </c>
      <c r="DX10" s="11">
        <v>0</v>
      </c>
      <c r="DY10" s="11">
        <v>0</v>
      </c>
      <c r="DZ10" s="10">
        <v>150</v>
      </c>
      <c r="EA10" s="11">
        <v>38280</v>
      </c>
      <c r="EB10" s="11">
        <v>0</v>
      </c>
      <c r="EC10" s="11">
        <v>0</v>
      </c>
    </row>
    <row r="11" spans="1:133" x14ac:dyDescent="0.4">
      <c r="A11" s="8" t="s">
        <v>57</v>
      </c>
      <c r="B11" s="9">
        <f t="shared" ref="B11:AG11" si="0">SUM(B5:B10)</f>
        <v>221</v>
      </c>
      <c r="C11" s="9">
        <f t="shared" si="0"/>
        <v>845988</v>
      </c>
      <c r="D11" s="9">
        <f t="shared" si="0"/>
        <v>576</v>
      </c>
      <c r="E11" s="9">
        <f t="shared" si="0"/>
        <v>2204928</v>
      </c>
      <c r="F11" s="9">
        <f t="shared" si="0"/>
        <v>2342</v>
      </c>
      <c r="G11" s="9">
        <f t="shared" si="0"/>
        <v>15070770</v>
      </c>
      <c r="H11" s="9">
        <f t="shared" si="0"/>
        <v>954</v>
      </c>
      <c r="I11" s="9">
        <f t="shared" si="0"/>
        <v>6138990</v>
      </c>
      <c r="J11" s="9">
        <f t="shared" si="0"/>
        <v>17570</v>
      </c>
      <c r="K11" s="9">
        <f t="shared" si="0"/>
        <v>11306295</v>
      </c>
      <c r="L11" s="9">
        <f t="shared" si="0"/>
        <v>12000</v>
      </c>
      <c r="M11" s="9">
        <f t="shared" si="0"/>
        <v>7722000</v>
      </c>
      <c r="N11" s="9">
        <f t="shared" si="0"/>
        <v>24470</v>
      </c>
      <c r="O11" s="9">
        <f t="shared" si="0"/>
        <v>15746445</v>
      </c>
      <c r="P11" s="9">
        <f t="shared" si="0"/>
        <v>18000</v>
      </c>
      <c r="Q11" s="9">
        <f t="shared" si="0"/>
        <v>11583000</v>
      </c>
      <c r="R11" s="9">
        <f t="shared" si="0"/>
        <v>8220</v>
      </c>
      <c r="S11" s="9">
        <f t="shared" si="0"/>
        <v>3978480</v>
      </c>
      <c r="T11" s="9">
        <f t="shared" si="0"/>
        <v>7960</v>
      </c>
      <c r="U11" s="9">
        <f t="shared" si="0"/>
        <v>3852640</v>
      </c>
      <c r="V11" s="9">
        <f t="shared" si="0"/>
        <v>349380</v>
      </c>
      <c r="W11" s="9">
        <f t="shared" si="0"/>
        <v>142966296</v>
      </c>
      <c r="X11" s="9">
        <f t="shared" si="0"/>
        <v>162000</v>
      </c>
      <c r="Y11" s="9">
        <f t="shared" si="0"/>
        <v>66290400</v>
      </c>
      <c r="Z11" s="9">
        <f t="shared" si="0"/>
        <v>177360</v>
      </c>
      <c r="AA11" s="9">
        <f t="shared" si="0"/>
        <v>68283600</v>
      </c>
      <c r="AB11" s="9">
        <f t="shared" si="0"/>
        <v>92160</v>
      </c>
      <c r="AC11" s="9">
        <f t="shared" si="0"/>
        <v>35481600</v>
      </c>
      <c r="AD11" s="9">
        <f t="shared" si="0"/>
        <v>23280</v>
      </c>
      <c r="AE11" s="9">
        <f t="shared" si="0"/>
        <v>7795072</v>
      </c>
      <c r="AF11" s="9">
        <f t="shared" si="0"/>
        <v>58320</v>
      </c>
      <c r="AG11" s="9">
        <f t="shared" si="0"/>
        <v>19527868</v>
      </c>
      <c r="AH11" s="9">
        <f t="shared" ref="AH11:BM11" si="1">SUM(AH5:AH10)</f>
        <v>24920</v>
      </c>
      <c r="AI11" s="9">
        <f t="shared" si="1"/>
        <v>8036508</v>
      </c>
      <c r="AJ11" s="9">
        <f t="shared" si="1"/>
        <v>21600</v>
      </c>
      <c r="AK11" s="9">
        <f t="shared" si="1"/>
        <v>6965838</v>
      </c>
      <c r="AL11" s="9">
        <f t="shared" si="1"/>
        <v>44</v>
      </c>
      <c r="AM11" s="9">
        <f t="shared" si="1"/>
        <v>311696</v>
      </c>
      <c r="AN11" s="9">
        <f t="shared" si="1"/>
        <v>0</v>
      </c>
      <c r="AO11" s="9">
        <f t="shared" si="1"/>
        <v>0</v>
      </c>
      <c r="AP11" s="9">
        <f t="shared" si="1"/>
        <v>2</v>
      </c>
      <c r="AQ11" s="9">
        <f t="shared" si="1"/>
        <v>49999</v>
      </c>
      <c r="AR11" s="9">
        <f t="shared" si="1"/>
        <v>0</v>
      </c>
      <c r="AS11" s="9">
        <f t="shared" si="1"/>
        <v>0</v>
      </c>
      <c r="AT11" s="9">
        <f t="shared" si="1"/>
        <v>2315</v>
      </c>
      <c r="AU11" s="9">
        <f t="shared" si="1"/>
        <v>2887731</v>
      </c>
      <c r="AV11" s="9">
        <f t="shared" si="1"/>
        <v>2110</v>
      </c>
      <c r="AW11" s="9">
        <f t="shared" si="1"/>
        <v>2632014</v>
      </c>
      <c r="AX11" s="9">
        <f t="shared" si="1"/>
        <v>1393200</v>
      </c>
      <c r="AY11" s="9">
        <f t="shared" si="1"/>
        <v>571629960</v>
      </c>
      <c r="AZ11" s="9">
        <f t="shared" si="1"/>
        <v>737970</v>
      </c>
      <c r="BA11" s="9">
        <f t="shared" si="1"/>
        <v>302789091</v>
      </c>
      <c r="BB11" s="9">
        <f t="shared" si="1"/>
        <v>586120</v>
      </c>
      <c r="BC11" s="9">
        <f t="shared" si="1"/>
        <v>240485036</v>
      </c>
      <c r="BD11" s="9">
        <f t="shared" si="1"/>
        <v>437760</v>
      </c>
      <c r="BE11" s="9">
        <f t="shared" si="1"/>
        <v>179612928</v>
      </c>
      <c r="BF11" s="9">
        <f t="shared" si="1"/>
        <v>30300</v>
      </c>
      <c r="BG11" s="9">
        <f t="shared" si="1"/>
        <v>19498050</v>
      </c>
      <c r="BH11" s="9">
        <f t="shared" si="1"/>
        <v>29640</v>
      </c>
      <c r="BI11" s="9">
        <f t="shared" si="1"/>
        <v>19073340</v>
      </c>
      <c r="BJ11" s="9">
        <f t="shared" si="1"/>
        <v>149670</v>
      </c>
      <c r="BK11" s="9">
        <f t="shared" si="1"/>
        <v>82318500</v>
      </c>
      <c r="BL11" s="9">
        <f t="shared" si="1"/>
        <v>105120</v>
      </c>
      <c r="BM11" s="9">
        <f t="shared" si="1"/>
        <v>57816000</v>
      </c>
      <c r="BN11" s="9">
        <f t="shared" ref="BN11:CS11" si="2">SUM(BN5:BN10)</f>
        <v>4324</v>
      </c>
      <c r="BO11" s="9">
        <f t="shared" si="2"/>
        <v>6742197</v>
      </c>
      <c r="BP11" s="9">
        <f t="shared" si="2"/>
        <v>4192</v>
      </c>
      <c r="BQ11" s="9">
        <f t="shared" si="2"/>
        <v>6536376</v>
      </c>
      <c r="BR11" s="9">
        <f t="shared" si="2"/>
        <v>920</v>
      </c>
      <c r="BS11" s="9">
        <f t="shared" si="2"/>
        <v>399593</v>
      </c>
      <c r="BT11" s="9">
        <f t="shared" si="2"/>
        <v>0</v>
      </c>
      <c r="BU11" s="9">
        <f t="shared" si="2"/>
        <v>0</v>
      </c>
      <c r="BV11" s="9">
        <f t="shared" si="2"/>
        <v>3800</v>
      </c>
      <c r="BW11" s="9">
        <f t="shared" si="2"/>
        <v>1107700</v>
      </c>
      <c r="BX11" s="9">
        <f t="shared" si="2"/>
        <v>0</v>
      </c>
      <c r="BY11" s="9">
        <f t="shared" si="2"/>
        <v>0</v>
      </c>
      <c r="BZ11" s="9">
        <f t="shared" si="2"/>
        <v>22000</v>
      </c>
      <c r="CA11" s="9">
        <f t="shared" si="2"/>
        <v>5033600</v>
      </c>
      <c r="CB11" s="9">
        <f t="shared" si="2"/>
        <v>24000</v>
      </c>
      <c r="CC11" s="9">
        <f t="shared" si="2"/>
        <v>5491200</v>
      </c>
      <c r="CD11" s="9">
        <f t="shared" si="2"/>
        <v>6210</v>
      </c>
      <c r="CE11" s="9">
        <f t="shared" si="2"/>
        <v>2139229</v>
      </c>
      <c r="CF11" s="9">
        <f t="shared" si="2"/>
        <v>0</v>
      </c>
      <c r="CG11" s="9">
        <f t="shared" si="2"/>
        <v>0</v>
      </c>
      <c r="CH11" s="9">
        <f t="shared" si="2"/>
        <v>11910</v>
      </c>
      <c r="CI11" s="9">
        <f t="shared" si="2"/>
        <v>4102794</v>
      </c>
      <c r="CJ11" s="9">
        <f t="shared" si="2"/>
        <v>10920</v>
      </c>
      <c r="CK11" s="9">
        <f t="shared" si="2"/>
        <v>3761759</v>
      </c>
      <c r="CL11" s="9">
        <f t="shared" si="2"/>
        <v>115000</v>
      </c>
      <c r="CM11" s="9">
        <f t="shared" si="2"/>
        <v>35862750</v>
      </c>
      <c r="CN11" s="9">
        <f t="shared" si="2"/>
        <v>96000</v>
      </c>
      <c r="CO11" s="9">
        <f t="shared" si="2"/>
        <v>29937600</v>
      </c>
      <c r="CP11" s="9">
        <f t="shared" si="2"/>
        <v>291300</v>
      </c>
      <c r="CQ11" s="9">
        <f t="shared" si="2"/>
        <v>82991370</v>
      </c>
      <c r="CR11" s="9">
        <f t="shared" si="2"/>
        <v>252000</v>
      </c>
      <c r="CS11" s="9">
        <f t="shared" si="2"/>
        <v>71794800</v>
      </c>
      <c r="CT11" s="9">
        <f t="shared" ref="CT11:DY11" si="3">SUM(CT5:CT10)</f>
        <v>25680</v>
      </c>
      <c r="CU11" s="9">
        <f t="shared" si="3"/>
        <v>7033752</v>
      </c>
      <c r="CV11" s="9">
        <f t="shared" si="3"/>
        <v>96000</v>
      </c>
      <c r="CW11" s="9">
        <f t="shared" si="3"/>
        <v>26294400</v>
      </c>
      <c r="CX11" s="9">
        <f t="shared" si="3"/>
        <v>3</v>
      </c>
      <c r="CY11" s="9">
        <f t="shared" si="3"/>
        <v>55752</v>
      </c>
      <c r="CZ11" s="9">
        <f t="shared" si="3"/>
        <v>72</v>
      </c>
      <c r="DA11" s="9">
        <f t="shared" si="3"/>
        <v>1338084</v>
      </c>
      <c r="DB11" s="9">
        <f t="shared" si="3"/>
        <v>7840</v>
      </c>
      <c r="DC11" s="9">
        <f t="shared" si="3"/>
        <v>3694531</v>
      </c>
      <c r="DD11" s="9">
        <f t="shared" si="3"/>
        <v>9600</v>
      </c>
      <c r="DE11" s="9">
        <f t="shared" si="3"/>
        <v>4523904</v>
      </c>
      <c r="DF11" s="9">
        <f t="shared" si="3"/>
        <v>270</v>
      </c>
      <c r="DG11" s="9">
        <f t="shared" si="3"/>
        <v>114660</v>
      </c>
      <c r="DH11" s="9">
        <f t="shared" si="3"/>
        <v>45</v>
      </c>
      <c r="DI11" s="9">
        <f t="shared" si="3"/>
        <v>19110</v>
      </c>
      <c r="DJ11" s="9">
        <f t="shared" si="3"/>
        <v>8955</v>
      </c>
      <c r="DK11" s="9">
        <f t="shared" si="3"/>
        <v>3802938</v>
      </c>
      <c r="DL11" s="9">
        <f t="shared" si="3"/>
        <v>8640</v>
      </c>
      <c r="DM11" s="9">
        <f t="shared" si="3"/>
        <v>3669178</v>
      </c>
      <c r="DN11" s="9">
        <f t="shared" si="3"/>
        <v>3</v>
      </c>
      <c r="DO11" s="9">
        <f t="shared" si="3"/>
        <v>50685</v>
      </c>
      <c r="DP11" s="9">
        <f t="shared" si="3"/>
        <v>0</v>
      </c>
      <c r="DQ11" s="9">
        <f t="shared" si="3"/>
        <v>0</v>
      </c>
      <c r="DR11" s="9">
        <f t="shared" si="3"/>
        <v>1522260</v>
      </c>
      <c r="DS11" s="9">
        <f t="shared" si="3"/>
        <v>474716781</v>
      </c>
      <c r="DT11" s="9">
        <f t="shared" si="3"/>
        <v>1539480</v>
      </c>
      <c r="DU11" s="9">
        <f t="shared" si="3"/>
        <v>480086838</v>
      </c>
      <c r="DV11" s="9">
        <f t="shared" si="3"/>
        <v>1697480</v>
      </c>
      <c r="DW11" s="9">
        <f t="shared" si="3"/>
        <v>433196896</v>
      </c>
      <c r="DX11" s="9">
        <f t="shared" si="3"/>
        <v>993600</v>
      </c>
      <c r="DY11" s="9">
        <f t="shared" si="3"/>
        <v>253566720</v>
      </c>
      <c r="DZ11" s="9">
        <f t="shared" ref="DZ11:EC11" si="4">SUM(DZ5:DZ10)</f>
        <v>3471600</v>
      </c>
      <c r="EA11" s="9">
        <f t="shared" si="4"/>
        <v>885952320</v>
      </c>
      <c r="EB11" s="9">
        <f t="shared" si="4"/>
        <v>2637250</v>
      </c>
      <c r="EC11" s="9">
        <f t="shared" si="4"/>
        <v>673026200</v>
      </c>
    </row>
  </sheetData>
  <mergeCells count="36">
    <mergeCell ref="J3:M3"/>
    <mergeCell ref="AX3:BA3"/>
    <mergeCell ref="BJ3:BM3"/>
    <mergeCell ref="CX3:DA3"/>
    <mergeCell ref="A1:EC1"/>
    <mergeCell ref="BV3:BY3"/>
    <mergeCell ref="DF3:DI3"/>
    <mergeCell ref="CD3:CG3"/>
    <mergeCell ref="DR3:DU3"/>
    <mergeCell ref="DN3:DQ3"/>
    <mergeCell ref="DZ3:EC3"/>
    <mergeCell ref="V3:Y3"/>
    <mergeCell ref="A3:A4"/>
    <mergeCell ref="AD3:AG3"/>
    <mergeCell ref="AH3:AK3"/>
    <mergeCell ref="CH3:CK3"/>
    <mergeCell ref="B3:E3"/>
    <mergeCell ref="AP3:AS3"/>
    <mergeCell ref="BB3:BE3"/>
    <mergeCell ref="CL3:CO3"/>
    <mergeCell ref="F3:I3"/>
    <mergeCell ref="AT3:AW3"/>
    <mergeCell ref="A2:EC2"/>
    <mergeCell ref="N3:Q3"/>
    <mergeCell ref="BN3:BQ3"/>
    <mergeCell ref="BF3:BI3"/>
    <mergeCell ref="BR3:BU3"/>
    <mergeCell ref="BZ3:CC3"/>
    <mergeCell ref="DJ3:DM3"/>
    <mergeCell ref="DV3:DY3"/>
    <mergeCell ref="Z3:AC3"/>
    <mergeCell ref="AL3:AO3"/>
    <mergeCell ref="CP3:CS3"/>
    <mergeCell ref="R3:U3"/>
    <mergeCell ref="CT3:CW3"/>
    <mergeCell ref="DB3:DE3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11"/>
  <sheetViews>
    <sheetView workbookViewId="0">
      <pane xSplit="1" ySplit="4" topLeftCell="B5" activePane="bottomRight" state="frozen"/>
      <selection pane="topRight"/>
      <selection pane="bottomLeft"/>
      <selection pane="bottomRight" sqref="A1:BM1"/>
    </sheetView>
  </sheetViews>
  <sheetFormatPr defaultRowHeight="17.399999999999999" x14ac:dyDescent="0.4"/>
  <cols>
    <col min="1" max="1" width="12" customWidth="1"/>
    <col min="2" max="65" width="14" customWidth="1"/>
  </cols>
  <sheetData>
    <row r="1" spans="1:65" ht="22.05" customHeight="1" x14ac:dyDescent="0.4">
      <c r="A1" s="58" t="s">
        <v>58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</row>
    <row r="2" spans="1:65" ht="30" customHeight="1" x14ac:dyDescent="0.4">
      <c r="A2" s="57" t="s">
        <v>59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</row>
    <row r="3" spans="1:65" ht="30" customHeight="1" x14ac:dyDescent="0.4">
      <c r="A3" s="59" t="s">
        <v>0</v>
      </c>
      <c r="B3" s="56" t="s">
        <v>60</v>
      </c>
      <c r="C3" s="55"/>
      <c r="D3" s="55"/>
      <c r="E3" s="55"/>
      <c r="F3" s="56" t="s">
        <v>61</v>
      </c>
      <c r="G3" s="55"/>
      <c r="H3" s="55"/>
      <c r="I3" s="55"/>
      <c r="J3" s="56" t="s">
        <v>62</v>
      </c>
      <c r="K3" s="55"/>
      <c r="L3" s="55"/>
      <c r="M3" s="55"/>
      <c r="N3" s="56" t="s">
        <v>63</v>
      </c>
      <c r="O3" s="55"/>
      <c r="P3" s="55"/>
      <c r="Q3" s="55"/>
      <c r="R3" s="56" t="s">
        <v>64</v>
      </c>
      <c r="S3" s="55"/>
      <c r="T3" s="55"/>
      <c r="U3" s="55"/>
      <c r="V3" s="56" t="s">
        <v>65</v>
      </c>
      <c r="W3" s="55"/>
      <c r="X3" s="55"/>
      <c r="Y3" s="55"/>
      <c r="Z3" s="56" t="s">
        <v>66</v>
      </c>
      <c r="AA3" s="55"/>
      <c r="AB3" s="55"/>
      <c r="AC3" s="55"/>
      <c r="AD3" s="56" t="s">
        <v>67</v>
      </c>
      <c r="AE3" s="55"/>
      <c r="AF3" s="55"/>
      <c r="AG3" s="55"/>
      <c r="AH3" s="56" t="s">
        <v>68</v>
      </c>
      <c r="AI3" s="55"/>
      <c r="AJ3" s="55"/>
      <c r="AK3" s="55"/>
      <c r="AL3" s="56" t="s">
        <v>69</v>
      </c>
      <c r="AM3" s="55"/>
      <c r="AN3" s="55"/>
      <c r="AO3" s="55"/>
      <c r="AP3" s="56" t="s">
        <v>70</v>
      </c>
      <c r="AQ3" s="55"/>
      <c r="AR3" s="55"/>
      <c r="AS3" s="55"/>
      <c r="AT3" s="56" t="s">
        <v>71</v>
      </c>
      <c r="AU3" s="55"/>
      <c r="AV3" s="55"/>
      <c r="AW3" s="55"/>
      <c r="AX3" s="56" t="s">
        <v>72</v>
      </c>
      <c r="AY3" s="55"/>
      <c r="AZ3" s="55"/>
      <c r="BA3" s="55"/>
      <c r="BB3" s="56" t="s">
        <v>73</v>
      </c>
      <c r="BC3" s="55"/>
      <c r="BD3" s="55"/>
      <c r="BE3" s="55"/>
      <c r="BF3" s="56" t="s">
        <v>74</v>
      </c>
      <c r="BG3" s="55"/>
      <c r="BH3" s="55"/>
      <c r="BI3" s="55"/>
      <c r="BJ3" s="56" t="s">
        <v>75</v>
      </c>
      <c r="BK3" s="55"/>
      <c r="BL3" s="55"/>
      <c r="BM3" s="55"/>
    </row>
    <row r="4" spans="1:65" ht="22.05" customHeight="1" x14ac:dyDescent="0.4">
      <c r="A4" s="60"/>
      <c r="B4" s="5" t="s">
        <v>2</v>
      </c>
      <c r="C4" s="5" t="s">
        <v>3</v>
      </c>
      <c r="D4" s="5" t="s">
        <v>4</v>
      </c>
      <c r="E4" s="5" t="s">
        <v>5</v>
      </c>
      <c r="F4" s="5" t="s">
        <v>2</v>
      </c>
      <c r="G4" s="5" t="s">
        <v>3</v>
      </c>
      <c r="H4" s="5" t="s">
        <v>4</v>
      </c>
      <c r="I4" s="5" t="s">
        <v>5</v>
      </c>
      <c r="J4" s="5" t="s">
        <v>2</v>
      </c>
      <c r="K4" s="5" t="s">
        <v>3</v>
      </c>
      <c r="L4" s="5" t="s">
        <v>4</v>
      </c>
      <c r="M4" s="5" t="s">
        <v>5</v>
      </c>
      <c r="N4" s="5" t="s">
        <v>2</v>
      </c>
      <c r="O4" s="5" t="s">
        <v>3</v>
      </c>
      <c r="P4" s="5" t="s">
        <v>4</v>
      </c>
      <c r="Q4" s="5" t="s">
        <v>5</v>
      </c>
      <c r="R4" s="5" t="s">
        <v>2</v>
      </c>
      <c r="S4" s="5" t="s">
        <v>3</v>
      </c>
      <c r="T4" s="5" t="s">
        <v>4</v>
      </c>
      <c r="U4" s="5" t="s">
        <v>5</v>
      </c>
      <c r="V4" s="5" t="s">
        <v>2</v>
      </c>
      <c r="W4" s="5" t="s">
        <v>3</v>
      </c>
      <c r="X4" s="5" t="s">
        <v>4</v>
      </c>
      <c r="Y4" s="5" t="s">
        <v>5</v>
      </c>
      <c r="Z4" s="5" t="s">
        <v>2</v>
      </c>
      <c r="AA4" s="5" t="s">
        <v>3</v>
      </c>
      <c r="AB4" s="5" t="s">
        <v>4</v>
      </c>
      <c r="AC4" s="5" t="s">
        <v>5</v>
      </c>
      <c r="AD4" s="5" t="s">
        <v>2</v>
      </c>
      <c r="AE4" s="5" t="s">
        <v>3</v>
      </c>
      <c r="AF4" s="5" t="s">
        <v>4</v>
      </c>
      <c r="AG4" s="5" t="s">
        <v>5</v>
      </c>
      <c r="AH4" s="5" t="s">
        <v>2</v>
      </c>
      <c r="AI4" s="5" t="s">
        <v>3</v>
      </c>
      <c r="AJ4" s="5" t="s">
        <v>4</v>
      </c>
      <c r="AK4" s="5" t="s">
        <v>5</v>
      </c>
      <c r="AL4" s="5" t="s">
        <v>2</v>
      </c>
      <c r="AM4" s="5" t="s">
        <v>3</v>
      </c>
      <c r="AN4" s="5" t="s">
        <v>4</v>
      </c>
      <c r="AO4" s="5" t="s">
        <v>5</v>
      </c>
      <c r="AP4" s="5" t="s">
        <v>2</v>
      </c>
      <c r="AQ4" s="5" t="s">
        <v>3</v>
      </c>
      <c r="AR4" s="5" t="s">
        <v>4</v>
      </c>
      <c r="AS4" s="5" t="s">
        <v>5</v>
      </c>
      <c r="AT4" s="5" t="s">
        <v>2</v>
      </c>
      <c r="AU4" s="5" t="s">
        <v>3</v>
      </c>
      <c r="AV4" s="5" t="s">
        <v>4</v>
      </c>
      <c r="AW4" s="5" t="s">
        <v>5</v>
      </c>
      <c r="AX4" s="5" t="s">
        <v>2</v>
      </c>
      <c r="AY4" s="5" t="s">
        <v>3</v>
      </c>
      <c r="AZ4" s="5" t="s">
        <v>4</v>
      </c>
      <c r="BA4" s="5" t="s">
        <v>5</v>
      </c>
      <c r="BB4" s="5" t="s">
        <v>2</v>
      </c>
      <c r="BC4" s="5" t="s">
        <v>3</v>
      </c>
      <c r="BD4" s="5" t="s">
        <v>4</v>
      </c>
      <c r="BE4" s="5" t="s">
        <v>5</v>
      </c>
      <c r="BF4" s="5" t="s">
        <v>2</v>
      </c>
      <c r="BG4" s="5" t="s">
        <v>3</v>
      </c>
      <c r="BH4" s="5" t="s">
        <v>4</v>
      </c>
      <c r="BI4" s="5" t="s">
        <v>5</v>
      </c>
      <c r="BJ4" s="5" t="s">
        <v>2</v>
      </c>
      <c r="BK4" s="5" t="s">
        <v>3</v>
      </c>
      <c r="BL4" s="5" t="s">
        <v>4</v>
      </c>
      <c r="BM4" s="5" t="s">
        <v>5</v>
      </c>
    </row>
    <row r="5" spans="1:65" x14ac:dyDescent="0.4">
      <c r="A5" s="6" t="s">
        <v>13</v>
      </c>
      <c r="B5" s="12">
        <v>26331</v>
      </c>
      <c r="C5" s="11">
        <v>7464839</v>
      </c>
      <c r="D5" s="11">
        <v>29160</v>
      </c>
      <c r="E5" s="11">
        <v>8266860</v>
      </c>
      <c r="F5" s="12">
        <v>132</v>
      </c>
      <c r="G5" s="11">
        <v>0</v>
      </c>
      <c r="H5" s="11">
        <v>0</v>
      </c>
      <c r="I5" s="11">
        <v>0</v>
      </c>
      <c r="J5" s="12">
        <v>11</v>
      </c>
      <c r="K5" s="11">
        <v>5940</v>
      </c>
      <c r="L5" s="11">
        <v>0</v>
      </c>
      <c r="M5" s="11">
        <v>0</v>
      </c>
      <c r="N5" s="12">
        <v>26</v>
      </c>
      <c r="O5" s="11">
        <v>14040</v>
      </c>
      <c r="P5" s="11">
        <v>0</v>
      </c>
      <c r="Q5" s="11">
        <v>0</v>
      </c>
      <c r="R5" s="12">
        <v>1748</v>
      </c>
      <c r="S5" s="11">
        <v>655326</v>
      </c>
      <c r="T5" s="11">
        <v>2840</v>
      </c>
      <c r="U5" s="11">
        <v>1064716</v>
      </c>
      <c r="V5" s="12">
        <v>1343</v>
      </c>
      <c r="W5" s="11">
        <v>549960</v>
      </c>
      <c r="X5" s="11">
        <v>17152</v>
      </c>
      <c r="Y5" s="11">
        <v>7023744</v>
      </c>
      <c r="Z5" s="12">
        <v>0</v>
      </c>
      <c r="AA5" s="11">
        <v>0</v>
      </c>
      <c r="AB5" s="11">
        <v>0</v>
      </c>
      <c r="AC5" s="11">
        <v>0</v>
      </c>
      <c r="AD5" s="12">
        <v>0</v>
      </c>
      <c r="AE5" s="11">
        <v>0</v>
      </c>
      <c r="AF5" s="11">
        <v>0</v>
      </c>
      <c r="AG5" s="11">
        <v>0</v>
      </c>
      <c r="AH5" s="12">
        <v>2458</v>
      </c>
      <c r="AI5" s="11">
        <v>650387</v>
      </c>
      <c r="AJ5" s="11">
        <v>44592</v>
      </c>
      <c r="AK5" s="11">
        <v>11799044</v>
      </c>
      <c r="AL5" s="12">
        <v>897</v>
      </c>
      <c r="AM5" s="11">
        <v>225147</v>
      </c>
      <c r="AN5" s="11">
        <v>0</v>
      </c>
      <c r="AO5" s="11">
        <v>0</v>
      </c>
      <c r="AP5" s="12">
        <v>653</v>
      </c>
      <c r="AQ5" s="11">
        <v>133865</v>
      </c>
      <c r="AR5" s="11">
        <v>0</v>
      </c>
      <c r="AS5" s="11">
        <v>0</v>
      </c>
      <c r="AT5" s="12">
        <v>0</v>
      </c>
      <c r="AU5" s="11">
        <v>0</v>
      </c>
      <c r="AV5" s="11">
        <v>0</v>
      </c>
      <c r="AW5" s="11">
        <v>0</v>
      </c>
      <c r="AX5" s="12">
        <v>646</v>
      </c>
      <c r="AY5" s="11">
        <v>97288</v>
      </c>
      <c r="AZ5" s="11">
        <v>16815</v>
      </c>
      <c r="BA5" s="11">
        <v>2532339</v>
      </c>
      <c r="BB5" s="12">
        <v>0</v>
      </c>
      <c r="BC5" s="11">
        <v>0</v>
      </c>
      <c r="BD5" s="11">
        <v>1800</v>
      </c>
      <c r="BE5" s="11">
        <v>510300</v>
      </c>
      <c r="BF5" s="12">
        <v>2162</v>
      </c>
      <c r="BG5" s="11">
        <v>510773</v>
      </c>
      <c r="BH5" s="11">
        <v>2608</v>
      </c>
      <c r="BI5" s="11">
        <v>616140</v>
      </c>
      <c r="BJ5" s="12">
        <v>23634</v>
      </c>
      <c r="BK5" s="11">
        <v>6700239</v>
      </c>
      <c r="BL5" s="11">
        <v>129528</v>
      </c>
      <c r="BM5" s="11">
        <v>36721188</v>
      </c>
    </row>
    <row r="6" spans="1:65" x14ac:dyDescent="0.4">
      <c r="A6" s="6" t="s">
        <v>15</v>
      </c>
      <c r="B6" s="12">
        <v>136771</v>
      </c>
      <c r="C6" s="11">
        <v>38774579</v>
      </c>
      <c r="D6" s="11">
        <v>141345</v>
      </c>
      <c r="E6" s="11">
        <v>40071308</v>
      </c>
      <c r="F6" s="12">
        <v>661</v>
      </c>
      <c r="G6" s="11">
        <v>0</v>
      </c>
      <c r="H6" s="11">
        <v>576</v>
      </c>
      <c r="I6" s="11">
        <v>0</v>
      </c>
      <c r="J6" s="12">
        <v>14</v>
      </c>
      <c r="K6" s="11">
        <v>7560</v>
      </c>
      <c r="L6" s="11">
        <v>0</v>
      </c>
      <c r="M6" s="11">
        <v>0</v>
      </c>
      <c r="N6" s="12">
        <v>166</v>
      </c>
      <c r="O6" s="11">
        <v>89640</v>
      </c>
      <c r="P6" s="11">
        <v>600</v>
      </c>
      <c r="Q6" s="11">
        <v>324000</v>
      </c>
      <c r="R6" s="12">
        <v>10333</v>
      </c>
      <c r="S6" s="11">
        <v>3873841</v>
      </c>
      <c r="T6" s="11">
        <v>14530</v>
      </c>
      <c r="U6" s="11">
        <v>5447297</v>
      </c>
      <c r="V6" s="12">
        <v>5818</v>
      </c>
      <c r="W6" s="11">
        <v>2382473</v>
      </c>
      <c r="X6" s="11">
        <v>68720</v>
      </c>
      <c r="Y6" s="11">
        <v>28140840</v>
      </c>
      <c r="Z6" s="12">
        <v>2058</v>
      </c>
      <c r="AA6" s="11">
        <v>790272</v>
      </c>
      <c r="AB6" s="11">
        <v>2040</v>
      </c>
      <c r="AC6" s="11">
        <v>783360</v>
      </c>
      <c r="AD6" s="12">
        <v>385</v>
      </c>
      <c r="AE6" s="11">
        <v>143220</v>
      </c>
      <c r="AF6" s="11">
        <v>384</v>
      </c>
      <c r="AG6" s="11">
        <v>142848</v>
      </c>
      <c r="AH6" s="12">
        <v>39460</v>
      </c>
      <c r="AI6" s="11">
        <v>10441120</v>
      </c>
      <c r="AJ6" s="11">
        <v>64880</v>
      </c>
      <c r="AK6" s="11">
        <v>17167248</v>
      </c>
      <c r="AL6" s="12">
        <v>1800</v>
      </c>
      <c r="AM6" s="11">
        <v>451800</v>
      </c>
      <c r="AN6" s="11">
        <v>1200</v>
      </c>
      <c r="AO6" s="11">
        <v>301200</v>
      </c>
      <c r="AP6" s="12">
        <v>2538</v>
      </c>
      <c r="AQ6" s="11">
        <v>520290</v>
      </c>
      <c r="AR6" s="11">
        <v>1920</v>
      </c>
      <c r="AS6" s="11">
        <v>393600</v>
      </c>
      <c r="AT6" s="12">
        <v>28</v>
      </c>
      <c r="AU6" s="11">
        <v>0</v>
      </c>
      <c r="AV6" s="11">
        <v>82</v>
      </c>
      <c r="AW6" s="11">
        <v>0</v>
      </c>
      <c r="AX6" s="12">
        <v>1789</v>
      </c>
      <c r="AY6" s="11">
        <v>269424</v>
      </c>
      <c r="AZ6" s="11">
        <v>24000</v>
      </c>
      <c r="BA6" s="11">
        <v>3614400</v>
      </c>
      <c r="BB6" s="12">
        <v>495</v>
      </c>
      <c r="BC6" s="11">
        <v>140335</v>
      </c>
      <c r="BD6" s="11">
        <v>0</v>
      </c>
      <c r="BE6" s="11">
        <v>0</v>
      </c>
      <c r="BF6" s="12">
        <v>5452</v>
      </c>
      <c r="BG6" s="11">
        <v>1288035</v>
      </c>
      <c r="BH6" s="11">
        <v>10000</v>
      </c>
      <c r="BI6" s="11">
        <v>2362500</v>
      </c>
      <c r="BJ6" s="12">
        <v>84178</v>
      </c>
      <c r="BK6" s="11">
        <v>23864465</v>
      </c>
      <c r="BL6" s="11">
        <v>95400</v>
      </c>
      <c r="BM6" s="11">
        <v>27045900</v>
      </c>
    </row>
    <row r="7" spans="1:65" x14ac:dyDescent="0.4">
      <c r="A7" s="6" t="s">
        <v>16</v>
      </c>
      <c r="B7" s="12">
        <v>304548</v>
      </c>
      <c r="C7" s="11">
        <v>86339356</v>
      </c>
      <c r="D7" s="11">
        <v>332976</v>
      </c>
      <c r="E7" s="11">
        <v>94398696</v>
      </c>
      <c r="F7" s="12">
        <v>536</v>
      </c>
      <c r="G7" s="11">
        <v>0</v>
      </c>
      <c r="H7" s="11">
        <v>576</v>
      </c>
      <c r="I7" s="11">
        <v>0</v>
      </c>
      <c r="J7" s="12">
        <v>152</v>
      </c>
      <c r="K7" s="11">
        <v>82080</v>
      </c>
      <c r="L7" s="11">
        <v>0</v>
      </c>
      <c r="M7" s="11">
        <v>0</v>
      </c>
      <c r="N7" s="12">
        <v>656</v>
      </c>
      <c r="O7" s="11">
        <v>354240</v>
      </c>
      <c r="P7" s="11">
        <v>600</v>
      </c>
      <c r="Q7" s="11">
        <v>324000</v>
      </c>
      <c r="R7" s="12">
        <v>12064</v>
      </c>
      <c r="S7" s="11">
        <v>4522794</v>
      </c>
      <c r="T7" s="11">
        <v>7600</v>
      </c>
      <c r="U7" s="11">
        <v>2849240</v>
      </c>
      <c r="V7" s="12">
        <v>33630</v>
      </c>
      <c r="W7" s="11">
        <v>13771485</v>
      </c>
      <c r="X7" s="11">
        <v>0</v>
      </c>
      <c r="Y7" s="11">
        <v>0</v>
      </c>
      <c r="Z7" s="12">
        <v>0</v>
      </c>
      <c r="AA7" s="11">
        <v>0</v>
      </c>
      <c r="AB7" s="11">
        <v>0</v>
      </c>
      <c r="AC7" s="11">
        <v>0</v>
      </c>
      <c r="AD7" s="12">
        <v>0</v>
      </c>
      <c r="AE7" s="11">
        <v>0</v>
      </c>
      <c r="AF7" s="11">
        <v>0</v>
      </c>
      <c r="AG7" s="11">
        <v>0</v>
      </c>
      <c r="AH7" s="12">
        <v>88562</v>
      </c>
      <c r="AI7" s="11">
        <v>23433504</v>
      </c>
      <c r="AJ7" s="11">
        <v>34255</v>
      </c>
      <c r="AK7" s="11">
        <v>9063873</v>
      </c>
      <c r="AL7" s="12">
        <v>3106</v>
      </c>
      <c r="AM7" s="11">
        <v>779606</v>
      </c>
      <c r="AN7" s="11">
        <v>2440</v>
      </c>
      <c r="AO7" s="11">
        <v>612440</v>
      </c>
      <c r="AP7" s="12">
        <v>2983</v>
      </c>
      <c r="AQ7" s="11">
        <v>611515</v>
      </c>
      <c r="AR7" s="11">
        <v>2880</v>
      </c>
      <c r="AS7" s="11">
        <v>590400</v>
      </c>
      <c r="AT7" s="12">
        <v>228</v>
      </c>
      <c r="AU7" s="11">
        <v>0</v>
      </c>
      <c r="AV7" s="11">
        <v>320</v>
      </c>
      <c r="AW7" s="11">
        <v>0</v>
      </c>
      <c r="AX7" s="12">
        <v>8227</v>
      </c>
      <c r="AY7" s="11">
        <v>1238984</v>
      </c>
      <c r="AZ7" s="11">
        <v>0</v>
      </c>
      <c r="BA7" s="11">
        <v>0</v>
      </c>
      <c r="BB7" s="12">
        <v>5264</v>
      </c>
      <c r="BC7" s="11">
        <v>1492343</v>
      </c>
      <c r="BD7" s="11">
        <v>0</v>
      </c>
      <c r="BE7" s="11">
        <v>0</v>
      </c>
      <c r="BF7" s="12">
        <v>3892</v>
      </c>
      <c r="BG7" s="11">
        <v>919485</v>
      </c>
      <c r="BH7" s="11">
        <v>0</v>
      </c>
      <c r="BI7" s="11">
        <v>0</v>
      </c>
      <c r="BJ7" s="12">
        <v>111802</v>
      </c>
      <c r="BK7" s="11">
        <v>31695868</v>
      </c>
      <c r="BL7" s="11">
        <v>172800</v>
      </c>
      <c r="BM7" s="11">
        <v>48988800</v>
      </c>
    </row>
    <row r="8" spans="1:65" x14ac:dyDescent="0.4">
      <c r="A8" s="6" t="s">
        <v>17</v>
      </c>
      <c r="B8" s="12">
        <v>196329</v>
      </c>
      <c r="C8" s="11">
        <v>55659271</v>
      </c>
      <c r="D8" s="11">
        <v>140432</v>
      </c>
      <c r="E8" s="11">
        <v>39812472</v>
      </c>
      <c r="F8" s="12">
        <v>226</v>
      </c>
      <c r="G8" s="11">
        <v>0</v>
      </c>
      <c r="H8" s="11">
        <v>162</v>
      </c>
      <c r="I8" s="11">
        <v>0</v>
      </c>
      <c r="J8" s="12">
        <v>836</v>
      </c>
      <c r="K8" s="11">
        <v>451440</v>
      </c>
      <c r="L8" s="11">
        <v>0</v>
      </c>
      <c r="M8" s="11">
        <v>0</v>
      </c>
      <c r="N8" s="12">
        <v>473</v>
      </c>
      <c r="O8" s="11">
        <v>255420</v>
      </c>
      <c r="P8" s="11">
        <v>0</v>
      </c>
      <c r="Q8" s="11">
        <v>0</v>
      </c>
      <c r="R8" s="12">
        <v>7403</v>
      </c>
      <c r="S8" s="11">
        <v>2775385</v>
      </c>
      <c r="T8" s="11">
        <v>0</v>
      </c>
      <c r="U8" s="11">
        <v>0</v>
      </c>
      <c r="V8" s="12">
        <v>76461</v>
      </c>
      <c r="W8" s="11">
        <v>31310781</v>
      </c>
      <c r="X8" s="11">
        <v>0</v>
      </c>
      <c r="Y8" s="11">
        <v>0</v>
      </c>
      <c r="Z8" s="12">
        <v>0</v>
      </c>
      <c r="AA8" s="11">
        <v>0</v>
      </c>
      <c r="AB8" s="11">
        <v>0</v>
      </c>
      <c r="AC8" s="11">
        <v>0</v>
      </c>
      <c r="AD8" s="12">
        <v>0</v>
      </c>
      <c r="AE8" s="11">
        <v>0</v>
      </c>
      <c r="AF8" s="11">
        <v>0</v>
      </c>
      <c r="AG8" s="11">
        <v>0</v>
      </c>
      <c r="AH8" s="12">
        <v>15907</v>
      </c>
      <c r="AI8" s="11">
        <v>4208994</v>
      </c>
      <c r="AJ8" s="11">
        <v>516</v>
      </c>
      <c r="AK8" s="11">
        <v>136534</v>
      </c>
      <c r="AL8" s="12">
        <v>710</v>
      </c>
      <c r="AM8" s="11">
        <v>178210</v>
      </c>
      <c r="AN8" s="11">
        <v>600</v>
      </c>
      <c r="AO8" s="11">
        <v>150600</v>
      </c>
      <c r="AP8" s="12">
        <v>2427</v>
      </c>
      <c r="AQ8" s="11">
        <v>497535</v>
      </c>
      <c r="AR8" s="11">
        <v>0</v>
      </c>
      <c r="AS8" s="11">
        <v>0</v>
      </c>
      <c r="AT8" s="12">
        <v>302</v>
      </c>
      <c r="AU8" s="11">
        <v>0</v>
      </c>
      <c r="AV8" s="11">
        <v>320</v>
      </c>
      <c r="AW8" s="11">
        <v>0</v>
      </c>
      <c r="AX8" s="12">
        <v>27653</v>
      </c>
      <c r="AY8" s="11">
        <v>4164539</v>
      </c>
      <c r="AZ8" s="11">
        <v>0</v>
      </c>
      <c r="BA8" s="11">
        <v>0</v>
      </c>
      <c r="BB8" s="12">
        <v>7396</v>
      </c>
      <c r="BC8" s="11">
        <v>2096764</v>
      </c>
      <c r="BD8" s="11">
        <v>0</v>
      </c>
      <c r="BE8" s="11">
        <v>0</v>
      </c>
      <c r="BF8" s="12">
        <v>1990</v>
      </c>
      <c r="BG8" s="11">
        <v>470135</v>
      </c>
      <c r="BH8" s="11">
        <v>0</v>
      </c>
      <c r="BI8" s="11">
        <v>0</v>
      </c>
      <c r="BJ8" s="12">
        <v>135807</v>
      </c>
      <c r="BK8" s="11">
        <v>38501285</v>
      </c>
      <c r="BL8" s="11">
        <v>0</v>
      </c>
      <c r="BM8" s="11">
        <v>0</v>
      </c>
    </row>
    <row r="9" spans="1:65" x14ac:dyDescent="0.4">
      <c r="A9" s="6" t="s">
        <v>18</v>
      </c>
      <c r="B9" s="12">
        <v>23553</v>
      </c>
      <c r="C9" s="11">
        <v>6677277</v>
      </c>
      <c r="D9" s="11">
        <v>9996</v>
      </c>
      <c r="E9" s="11">
        <v>2833866</v>
      </c>
      <c r="F9" s="12">
        <v>0</v>
      </c>
      <c r="G9" s="11">
        <v>0</v>
      </c>
      <c r="H9" s="11">
        <v>0</v>
      </c>
      <c r="I9" s="11">
        <v>0</v>
      </c>
      <c r="J9" s="12">
        <v>214</v>
      </c>
      <c r="K9" s="11">
        <v>115560</v>
      </c>
      <c r="L9" s="11">
        <v>0</v>
      </c>
      <c r="M9" s="11">
        <v>0</v>
      </c>
      <c r="N9" s="12">
        <v>0</v>
      </c>
      <c r="O9" s="11">
        <v>0</v>
      </c>
      <c r="P9" s="11">
        <v>0</v>
      </c>
      <c r="Q9" s="11">
        <v>0</v>
      </c>
      <c r="R9" s="12">
        <v>0</v>
      </c>
      <c r="S9" s="11">
        <v>0</v>
      </c>
      <c r="T9" s="11">
        <v>0</v>
      </c>
      <c r="U9" s="11">
        <v>0</v>
      </c>
      <c r="V9" s="12">
        <v>21341</v>
      </c>
      <c r="W9" s="11">
        <v>8739143</v>
      </c>
      <c r="X9" s="11">
        <v>0</v>
      </c>
      <c r="Y9" s="11">
        <v>0</v>
      </c>
      <c r="Z9" s="12">
        <v>0</v>
      </c>
      <c r="AA9" s="11">
        <v>0</v>
      </c>
      <c r="AB9" s="11">
        <v>0</v>
      </c>
      <c r="AC9" s="11">
        <v>0</v>
      </c>
      <c r="AD9" s="12">
        <v>0</v>
      </c>
      <c r="AE9" s="11">
        <v>0</v>
      </c>
      <c r="AF9" s="11">
        <v>0</v>
      </c>
      <c r="AG9" s="11">
        <v>0</v>
      </c>
      <c r="AH9" s="12">
        <v>0</v>
      </c>
      <c r="AI9" s="11">
        <v>0</v>
      </c>
      <c r="AJ9" s="11">
        <v>0</v>
      </c>
      <c r="AK9" s="11">
        <v>0</v>
      </c>
      <c r="AL9" s="12">
        <v>0</v>
      </c>
      <c r="AM9" s="11">
        <v>0</v>
      </c>
      <c r="AN9" s="11">
        <v>0</v>
      </c>
      <c r="AO9" s="11">
        <v>0</v>
      </c>
      <c r="AP9" s="12">
        <v>0</v>
      </c>
      <c r="AQ9" s="11">
        <v>0</v>
      </c>
      <c r="AR9" s="11">
        <v>0</v>
      </c>
      <c r="AS9" s="11">
        <v>0</v>
      </c>
      <c r="AT9" s="12">
        <v>119</v>
      </c>
      <c r="AU9" s="11">
        <v>0</v>
      </c>
      <c r="AV9" s="11">
        <v>160</v>
      </c>
      <c r="AW9" s="11">
        <v>0</v>
      </c>
      <c r="AX9" s="12">
        <v>6902</v>
      </c>
      <c r="AY9" s="11">
        <v>1039439</v>
      </c>
      <c r="AZ9" s="11">
        <v>0</v>
      </c>
      <c r="BA9" s="11">
        <v>0</v>
      </c>
      <c r="BB9" s="12">
        <v>942</v>
      </c>
      <c r="BC9" s="11">
        <v>267059</v>
      </c>
      <c r="BD9" s="11">
        <v>0</v>
      </c>
      <c r="BE9" s="11">
        <v>0</v>
      </c>
      <c r="BF9" s="12">
        <v>0</v>
      </c>
      <c r="BG9" s="11">
        <v>0</v>
      </c>
      <c r="BH9" s="11">
        <v>0</v>
      </c>
      <c r="BI9" s="11">
        <v>0</v>
      </c>
      <c r="BJ9" s="12">
        <v>47563</v>
      </c>
      <c r="BK9" s="11">
        <v>13484113</v>
      </c>
      <c r="BL9" s="11">
        <v>0</v>
      </c>
      <c r="BM9" s="11">
        <v>0</v>
      </c>
    </row>
    <row r="10" spans="1:65" x14ac:dyDescent="0.4">
      <c r="A10" s="6" t="s">
        <v>19</v>
      </c>
      <c r="B10" s="12">
        <v>4966</v>
      </c>
      <c r="C10" s="11">
        <v>1407859</v>
      </c>
      <c r="D10" s="11">
        <v>3106</v>
      </c>
      <c r="E10" s="11">
        <v>880551</v>
      </c>
      <c r="F10" s="12">
        <v>0</v>
      </c>
      <c r="G10" s="11">
        <v>0</v>
      </c>
      <c r="H10" s="11">
        <v>0</v>
      </c>
      <c r="I10" s="11">
        <v>0</v>
      </c>
      <c r="J10" s="12">
        <v>0</v>
      </c>
      <c r="K10" s="11">
        <v>0</v>
      </c>
      <c r="L10" s="11">
        <v>0</v>
      </c>
      <c r="M10" s="11">
        <v>0</v>
      </c>
      <c r="N10" s="12">
        <v>0</v>
      </c>
      <c r="O10" s="11">
        <v>0</v>
      </c>
      <c r="P10" s="11">
        <v>0</v>
      </c>
      <c r="Q10" s="11">
        <v>0</v>
      </c>
      <c r="R10" s="12">
        <v>0</v>
      </c>
      <c r="S10" s="11">
        <v>0</v>
      </c>
      <c r="T10" s="11">
        <v>0</v>
      </c>
      <c r="U10" s="11">
        <v>0</v>
      </c>
      <c r="V10" s="12">
        <v>0</v>
      </c>
      <c r="W10" s="11">
        <v>0</v>
      </c>
      <c r="X10" s="11">
        <v>0</v>
      </c>
      <c r="Y10" s="11">
        <v>0</v>
      </c>
      <c r="Z10" s="12">
        <v>0</v>
      </c>
      <c r="AA10" s="11">
        <v>0</v>
      </c>
      <c r="AB10" s="11">
        <v>0</v>
      </c>
      <c r="AC10" s="11">
        <v>0</v>
      </c>
      <c r="AD10" s="12">
        <v>0</v>
      </c>
      <c r="AE10" s="11">
        <v>0</v>
      </c>
      <c r="AF10" s="11">
        <v>0</v>
      </c>
      <c r="AG10" s="11">
        <v>0</v>
      </c>
      <c r="AH10" s="12">
        <v>0</v>
      </c>
      <c r="AI10" s="11">
        <v>0</v>
      </c>
      <c r="AJ10" s="11">
        <v>0</v>
      </c>
      <c r="AK10" s="11">
        <v>0</v>
      </c>
      <c r="AL10" s="12">
        <v>0</v>
      </c>
      <c r="AM10" s="11">
        <v>0</v>
      </c>
      <c r="AN10" s="11">
        <v>0</v>
      </c>
      <c r="AO10" s="11">
        <v>0</v>
      </c>
      <c r="AP10" s="12">
        <v>0</v>
      </c>
      <c r="AQ10" s="11">
        <v>0</v>
      </c>
      <c r="AR10" s="11">
        <v>0</v>
      </c>
      <c r="AS10" s="11">
        <v>0</v>
      </c>
      <c r="AT10" s="12">
        <v>45</v>
      </c>
      <c r="AU10" s="11">
        <v>0</v>
      </c>
      <c r="AV10" s="11">
        <v>0</v>
      </c>
      <c r="AW10" s="11">
        <v>0</v>
      </c>
      <c r="AX10" s="12">
        <v>2870</v>
      </c>
      <c r="AY10" s="11">
        <v>432223</v>
      </c>
      <c r="AZ10" s="11">
        <v>0</v>
      </c>
      <c r="BA10" s="11">
        <v>0</v>
      </c>
      <c r="BB10" s="12">
        <v>151</v>
      </c>
      <c r="BC10" s="11">
        <v>42811</v>
      </c>
      <c r="BD10" s="11">
        <v>0</v>
      </c>
      <c r="BE10" s="11">
        <v>0</v>
      </c>
      <c r="BF10" s="12">
        <v>0</v>
      </c>
      <c r="BG10" s="11">
        <v>0</v>
      </c>
      <c r="BH10" s="11">
        <v>0</v>
      </c>
      <c r="BI10" s="11">
        <v>0</v>
      </c>
      <c r="BJ10" s="12">
        <v>24582</v>
      </c>
      <c r="BK10" s="11">
        <v>6968994</v>
      </c>
      <c r="BL10" s="11">
        <v>0</v>
      </c>
      <c r="BM10" s="11">
        <v>0</v>
      </c>
    </row>
    <row r="11" spans="1:65" x14ac:dyDescent="0.4">
      <c r="A11" s="8" t="s">
        <v>57</v>
      </c>
      <c r="B11" s="9">
        <f t="shared" ref="B11:AG11" si="0">SUM(B5:B10)</f>
        <v>692498</v>
      </c>
      <c r="C11" s="9">
        <f t="shared" si="0"/>
        <v>196323181</v>
      </c>
      <c r="D11" s="9">
        <f t="shared" si="0"/>
        <v>657015</v>
      </c>
      <c r="E11" s="9">
        <f t="shared" si="0"/>
        <v>186263753</v>
      </c>
      <c r="F11" s="9">
        <f t="shared" si="0"/>
        <v>1555</v>
      </c>
      <c r="G11" s="9">
        <f t="shared" si="0"/>
        <v>0</v>
      </c>
      <c r="H11" s="9">
        <f t="shared" si="0"/>
        <v>1314</v>
      </c>
      <c r="I11" s="9">
        <f t="shared" si="0"/>
        <v>0</v>
      </c>
      <c r="J11" s="9">
        <f t="shared" si="0"/>
        <v>1227</v>
      </c>
      <c r="K11" s="9">
        <f t="shared" si="0"/>
        <v>662580</v>
      </c>
      <c r="L11" s="9">
        <f t="shared" si="0"/>
        <v>0</v>
      </c>
      <c r="M11" s="9">
        <f t="shared" si="0"/>
        <v>0</v>
      </c>
      <c r="N11" s="9">
        <f t="shared" si="0"/>
        <v>1321</v>
      </c>
      <c r="O11" s="9">
        <f t="shared" si="0"/>
        <v>713340</v>
      </c>
      <c r="P11" s="9">
        <f t="shared" si="0"/>
        <v>1200</v>
      </c>
      <c r="Q11" s="9">
        <f t="shared" si="0"/>
        <v>648000</v>
      </c>
      <c r="R11" s="9">
        <f t="shared" si="0"/>
        <v>31548</v>
      </c>
      <c r="S11" s="9">
        <f t="shared" si="0"/>
        <v>11827346</v>
      </c>
      <c r="T11" s="9">
        <f t="shared" si="0"/>
        <v>24970</v>
      </c>
      <c r="U11" s="9">
        <f t="shared" si="0"/>
        <v>9361253</v>
      </c>
      <c r="V11" s="9">
        <f t="shared" si="0"/>
        <v>138593</v>
      </c>
      <c r="W11" s="9">
        <f t="shared" si="0"/>
        <v>56753842</v>
      </c>
      <c r="X11" s="9">
        <f t="shared" si="0"/>
        <v>85872</v>
      </c>
      <c r="Y11" s="9">
        <f t="shared" si="0"/>
        <v>35164584</v>
      </c>
      <c r="Z11" s="9">
        <f t="shared" si="0"/>
        <v>2058</v>
      </c>
      <c r="AA11" s="9">
        <f t="shared" si="0"/>
        <v>790272</v>
      </c>
      <c r="AB11" s="9">
        <f t="shared" si="0"/>
        <v>2040</v>
      </c>
      <c r="AC11" s="9">
        <f t="shared" si="0"/>
        <v>783360</v>
      </c>
      <c r="AD11" s="9">
        <f t="shared" si="0"/>
        <v>385</v>
      </c>
      <c r="AE11" s="9">
        <f t="shared" si="0"/>
        <v>143220</v>
      </c>
      <c r="AF11" s="9">
        <f t="shared" si="0"/>
        <v>384</v>
      </c>
      <c r="AG11" s="9">
        <f t="shared" si="0"/>
        <v>142848</v>
      </c>
      <c r="AH11" s="9">
        <f t="shared" ref="AH11:BM11" si="1">SUM(AH5:AH10)</f>
        <v>146387</v>
      </c>
      <c r="AI11" s="9">
        <f t="shared" si="1"/>
        <v>38734005</v>
      </c>
      <c r="AJ11" s="9">
        <f t="shared" si="1"/>
        <v>144243</v>
      </c>
      <c r="AK11" s="9">
        <f t="shared" si="1"/>
        <v>38166699</v>
      </c>
      <c r="AL11" s="9">
        <f t="shared" si="1"/>
        <v>6513</v>
      </c>
      <c r="AM11" s="9">
        <f t="shared" si="1"/>
        <v>1634763</v>
      </c>
      <c r="AN11" s="9">
        <f t="shared" si="1"/>
        <v>4240</v>
      </c>
      <c r="AO11" s="9">
        <f t="shared" si="1"/>
        <v>1064240</v>
      </c>
      <c r="AP11" s="9">
        <f t="shared" si="1"/>
        <v>8601</v>
      </c>
      <c r="AQ11" s="9">
        <f t="shared" si="1"/>
        <v>1763205</v>
      </c>
      <c r="AR11" s="9">
        <f t="shared" si="1"/>
        <v>4800</v>
      </c>
      <c r="AS11" s="9">
        <f t="shared" si="1"/>
        <v>984000</v>
      </c>
      <c r="AT11" s="9">
        <f t="shared" si="1"/>
        <v>722</v>
      </c>
      <c r="AU11" s="9">
        <f t="shared" si="1"/>
        <v>0</v>
      </c>
      <c r="AV11" s="9">
        <f t="shared" si="1"/>
        <v>882</v>
      </c>
      <c r="AW11" s="9">
        <f t="shared" si="1"/>
        <v>0</v>
      </c>
      <c r="AX11" s="9">
        <f t="shared" si="1"/>
        <v>48087</v>
      </c>
      <c r="AY11" s="9">
        <f t="shared" si="1"/>
        <v>7241897</v>
      </c>
      <c r="AZ11" s="9">
        <f t="shared" si="1"/>
        <v>40815</v>
      </c>
      <c r="BA11" s="9">
        <f t="shared" si="1"/>
        <v>6146739</v>
      </c>
      <c r="BB11" s="9">
        <f t="shared" si="1"/>
        <v>14248</v>
      </c>
      <c r="BC11" s="9">
        <f t="shared" si="1"/>
        <v>4039312</v>
      </c>
      <c r="BD11" s="9">
        <f t="shared" si="1"/>
        <v>1800</v>
      </c>
      <c r="BE11" s="9">
        <f t="shared" si="1"/>
        <v>510300</v>
      </c>
      <c r="BF11" s="9">
        <f t="shared" si="1"/>
        <v>13496</v>
      </c>
      <c r="BG11" s="9">
        <f t="shared" si="1"/>
        <v>3188428</v>
      </c>
      <c r="BH11" s="9">
        <f t="shared" si="1"/>
        <v>12608</v>
      </c>
      <c r="BI11" s="9">
        <f t="shared" si="1"/>
        <v>2978640</v>
      </c>
      <c r="BJ11" s="9">
        <f t="shared" si="1"/>
        <v>427566</v>
      </c>
      <c r="BK11" s="9">
        <f t="shared" si="1"/>
        <v>121214964</v>
      </c>
      <c r="BL11" s="9">
        <f t="shared" si="1"/>
        <v>397728</v>
      </c>
      <c r="BM11" s="9">
        <f t="shared" si="1"/>
        <v>112755888</v>
      </c>
    </row>
  </sheetData>
  <mergeCells count="19">
    <mergeCell ref="BJ3:BM3"/>
    <mergeCell ref="V3:Y3"/>
    <mergeCell ref="BB3:BE3"/>
    <mergeCell ref="A1:BM1"/>
    <mergeCell ref="F3:I3"/>
    <mergeCell ref="AT3:AW3"/>
    <mergeCell ref="N3:Q3"/>
    <mergeCell ref="BF3:BI3"/>
    <mergeCell ref="Z3:AC3"/>
    <mergeCell ref="AL3:AO3"/>
    <mergeCell ref="A2:BM2"/>
    <mergeCell ref="A3:A4"/>
    <mergeCell ref="AD3:AG3"/>
    <mergeCell ref="AH3:AK3"/>
    <mergeCell ref="B3:E3"/>
    <mergeCell ref="AP3:AS3"/>
    <mergeCell ref="R3:U3"/>
    <mergeCell ref="J3:M3"/>
    <mergeCell ref="AX3:BA3"/>
  </mergeCells>
  <phoneticPr fontId="7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E5041-6952-4D0C-A510-3B07AF5C5839}">
  <sheetPr>
    <pageSetUpPr fitToPage="1"/>
  </sheetPr>
  <dimension ref="A1:J22"/>
  <sheetViews>
    <sheetView tabSelected="1" workbookViewId="0">
      <selection activeCell="M5" sqref="M5"/>
    </sheetView>
  </sheetViews>
  <sheetFormatPr defaultColWidth="9" defaultRowHeight="24.9" customHeight="1" x14ac:dyDescent="0.4"/>
  <cols>
    <col min="1" max="1" width="16.09765625" style="13" customWidth="1"/>
    <col min="2" max="6" width="18.09765625" style="13" customWidth="1"/>
    <col min="7" max="7" width="18.59765625" style="14" customWidth="1"/>
    <col min="8" max="8" width="10.19921875" style="14" customWidth="1"/>
    <col min="9" max="10" width="9" style="14"/>
    <col min="11" max="11" width="3.59765625" style="13" customWidth="1"/>
    <col min="12" max="16384" width="9" style="13"/>
  </cols>
  <sheetData>
    <row r="1" spans="1:10" ht="30" customHeight="1" x14ac:dyDescent="0.4">
      <c r="A1" s="53" t="s">
        <v>104</v>
      </c>
      <c r="B1" s="53"/>
      <c r="C1" s="53"/>
      <c r="D1" s="53"/>
      <c r="E1" s="53"/>
      <c r="F1" s="52"/>
    </row>
    <row r="2" spans="1:10" ht="21.75" customHeight="1" x14ac:dyDescent="0.4">
      <c r="F2" s="19"/>
    </row>
    <row r="3" spans="1:10" ht="24.9" customHeight="1" x14ac:dyDescent="0.4">
      <c r="A3" s="51" t="s">
        <v>103</v>
      </c>
      <c r="B3" s="50" t="s">
        <v>102</v>
      </c>
      <c r="C3" s="50" t="s">
        <v>101</v>
      </c>
      <c r="D3" s="50" t="s">
        <v>100</v>
      </c>
      <c r="E3" s="50" t="s">
        <v>99</v>
      </c>
      <c r="F3" s="49" t="s">
        <v>98</v>
      </c>
    </row>
    <row r="4" spans="1:10" ht="24.9" customHeight="1" x14ac:dyDescent="0.4">
      <c r="A4" s="37" t="s">
        <v>97</v>
      </c>
      <c r="B4" s="45"/>
      <c r="C4" s="45">
        <v>5974711</v>
      </c>
      <c r="D4" s="45">
        <v>15623300</v>
      </c>
      <c r="E4" s="45">
        <f>774194*1.1</f>
        <v>851613.4</v>
      </c>
      <c r="F4" s="27">
        <f t="shared" ref="F4:F10" si="0">SUM(B4:E4)</f>
        <v>22449624.399999999</v>
      </c>
      <c r="G4" s="20"/>
      <c r="H4" s="20"/>
      <c r="I4" s="20"/>
      <c r="J4" s="20"/>
    </row>
    <row r="5" spans="1:10" ht="24.9" customHeight="1" x14ac:dyDescent="0.4">
      <c r="A5" s="37" t="s">
        <v>96</v>
      </c>
      <c r="B5" s="45">
        <v>1644412</v>
      </c>
      <c r="C5" s="45">
        <v>22000000</v>
      </c>
      <c r="D5" s="45">
        <v>7177170</v>
      </c>
      <c r="E5" s="45">
        <v>1650000</v>
      </c>
      <c r="F5" s="27">
        <f t="shared" si="0"/>
        <v>32471582</v>
      </c>
      <c r="G5" s="20"/>
      <c r="H5" s="20"/>
      <c r="I5" s="20"/>
      <c r="J5" s="20"/>
    </row>
    <row r="6" spans="1:10" ht="24.9" customHeight="1" x14ac:dyDescent="0.4">
      <c r="A6" s="37" t="s">
        <v>95</v>
      </c>
      <c r="B6" s="45">
        <v>16060110</v>
      </c>
      <c r="C6" s="45">
        <f>54500000*1.1</f>
        <v>59950000.000000007</v>
      </c>
      <c r="D6" s="45">
        <v>23714075</v>
      </c>
      <c r="E6" s="45">
        <v>1650000</v>
      </c>
      <c r="F6" s="27">
        <f t="shared" si="0"/>
        <v>101374185</v>
      </c>
      <c r="G6" s="20"/>
      <c r="H6" s="20"/>
      <c r="I6" s="20"/>
      <c r="J6" s="20"/>
    </row>
    <row r="7" spans="1:10" ht="24.9" customHeight="1" x14ac:dyDescent="0.4">
      <c r="A7" s="37" t="s">
        <v>94</v>
      </c>
      <c r="B7" s="45">
        <v>37876663</v>
      </c>
      <c r="C7" s="45">
        <f>95000000*1.1</f>
        <v>104500000.00000001</v>
      </c>
      <c r="D7" s="45">
        <v>5261850</v>
      </c>
      <c r="E7" s="45">
        <v>1650000</v>
      </c>
      <c r="F7" s="27">
        <f t="shared" si="0"/>
        <v>149288513</v>
      </c>
      <c r="G7" s="20"/>
      <c r="H7" s="20"/>
      <c r="I7" s="20"/>
      <c r="J7" s="20"/>
    </row>
    <row r="8" spans="1:10" ht="24.9" customHeight="1" x14ac:dyDescent="0.4">
      <c r="A8" s="37" t="s">
        <v>93</v>
      </c>
      <c r="B8" s="45">
        <v>97889583</v>
      </c>
      <c r="C8" s="45">
        <v>5500000</v>
      </c>
      <c r="D8" s="45">
        <v>3797090</v>
      </c>
      <c r="E8" s="45">
        <v>1650000</v>
      </c>
      <c r="F8" s="27">
        <f t="shared" si="0"/>
        <v>108836673</v>
      </c>
      <c r="G8" s="31" t="s">
        <v>83</v>
      </c>
      <c r="H8" s="31" t="s">
        <v>82</v>
      </c>
      <c r="I8" s="20"/>
      <c r="J8" s="20"/>
    </row>
    <row r="9" spans="1:10" ht="24.9" customHeight="1" x14ac:dyDescent="0.4">
      <c r="A9" s="37" t="s">
        <v>92</v>
      </c>
      <c r="B9" s="45">
        <v>64497411</v>
      </c>
      <c r="C9" s="48"/>
      <c r="D9" s="45">
        <v>1509530</v>
      </c>
      <c r="E9" s="45">
        <v>1650000</v>
      </c>
      <c r="F9" s="27">
        <f t="shared" si="0"/>
        <v>67656941</v>
      </c>
      <c r="G9" s="47">
        <v>3394157021</v>
      </c>
      <c r="H9" s="46">
        <f>F11/G9</f>
        <v>0.14830687746193105</v>
      </c>
      <c r="I9" s="20"/>
      <c r="J9" s="20"/>
    </row>
    <row r="10" spans="1:10" ht="24.9" customHeight="1" x14ac:dyDescent="0.4">
      <c r="A10" s="37" t="s">
        <v>91</v>
      </c>
      <c r="B10" s="45">
        <v>19540411</v>
      </c>
      <c r="C10" s="45"/>
      <c r="D10" s="45">
        <v>108900</v>
      </c>
      <c r="E10" s="45">
        <v>1650000</v>
      </c>
      <c r="F10" s="27">
        <f t="shared" si="0"/>
        <v>21299311</v>
      </c>
      <c r="G10" s="44">
        <v>-160838686</v>
      </c>
      <c r="H10" s="44" t="s">
        <v>90</v>
      </c>
      <c r="I10" s="20"/>
      <c r="J10" s="20"/>
    </row>
    <row r="11" spans="1:10" ht="24.9" customHeight="1" x14ac:dyDescent="0.4">
      <c r="A11" s="43" t="s">
        <v>89</v>
      </c>
      <c r="B11" s="42">
        <f>SUM(B4:B10)</f>
        <v>237508590</v>
      </c>
      <c r="C11" s="42">
        <f>SUM(C4:C10)</f>
        <v>197924711</v>
      </c>
      <c r="D11" s="42">
        <f>SUM(D4:D10)</f>
        <v>57191915</v>
      </c>
      <c r="E11" s="42">
        <f>SUM(E4:E10)</f>
        <v>10751613.4</v>
      </c>
      <c r="F11" s="41">
        <f>SUM(F4:F10)</f>
        <v>503376829.39999998</v>
      </c>
      <c r="G11" s="40">
        <f>SUM(G9:G10)</f>
        <v>3233318335</v>
      </c>
      <c r="H11" s="39">
        <f>F11/G11</f>
        <v>0.15568427765093534</v>
      </c>
      <c r="I11" s="20"/>
      <c r="J11" s="20"/>
    </row>
    <row r="12" spans="1:10" ht="24.9" customHeight="1" x14ac:dyDescent="0.4">
      <c r="A12" s="37" t="s">
        <v>88</v>
      </c>
      <c r="B12" s="34">
        <v>2900040</v>
      </c>
      <c r="C12" s="34">
        <v>11353990</v>
      </c>
      <c r="D12" s="34">
        <v>3400870</v>
      </c>
      <c r="E12" s="34"/>
      <c r="F12" s="36">
        <f t="shared" ref="F12:F18" si="1">SUM(B12:E12)</f>
        <v>17654900</v>
      </c>
      <c r="G12" s="38"/>
      <c r="H12" s="20"/>
      <c r="I12" s="20"/>
      <c r="J12" s="20"/>
    </row>
    <row r="13" spans="1:10" ht="24.9" customHeight="1" x14ac:dyDescent="0.4">
      <c r="A13" s="37" t="s">
        <v>87</v>
      </c>
      <c r="B13" s="34">
        <v>15155503</v>
      </c>
      <c r="C13" s="34">
        <v>50050000</v>
      </c>
      <c r="D13" s="34">
        <v>19294655</v>
      </c>
      <c r="E13" s="34">
        <v>1170967</v>
      </c>
      <c r="F13" s="36">
        <f t="shared" si="1"/>
        <v>85671125</v>
      </c>
      <c r="G13" s="20"/>
      <c r="H13" s="20"/>
      <c r="I13" s="20"/>
    </row>
    <row r="14" spans="1:10" ht="24.9" customHeight="1" x14ac:dyDescent="0.4">
      <c r="A14" s="37" t="s">
        <v>86</v>
      </c>
      <c r="B14" s="34">
        <v>36344380</v>
      </c>
      <c r="C14" s="34">
        <v>93473400</v>
      </c>
      <c r="D14" s="34">
        <v>33966493</v>
      </c>
      <c r="E14" s="34">
        <v>1650000</v>
      </c>
      <c r="F14" s="36">
        <f t="shared" si="1"/>
        <v>165434273</v>
      </c>
      <c r="G14" s="20"/>
      <c r="H14" s="20"/>
      <c r="I14" s="20"/>
      <c r="J14" s="20"/>
    </row>
    <row r="15" spans="1:10" ht="24.9" customHeight="1" x14ac:dyDescent="0.4">
      <c r="A15" s="37" t="s">
        <v>85</v>
      </c>
      <c r="B15" s="34">
        <v>113101445</v>
      </c>
      <c r="C15" s="34">
        <f>110000000+4226190+18668750</f>
        <v>132894940</v>
      </c>
      <c r="D15" s="34">
        <v>33981206</v>
      </c>
      <c r="E15" s="34">
        <v>1650000</v>
      </c>
      <c r="F15" s="36">
        <f t="shared" si="1"/>
        <v>281627591</v>
      </c>
      <c r="G15" s="20"/>
      <c r="H15" s="20"/>
      <c r="I15" s="20"/>
      <c r="J15" s="20"/>
    </row>
    <row r="16" spans="1:10" ht="24.9" customHeight="1" x14ac:dyDescent="0.4">
      <c r="A16" s="35" t="s">
        <v>84</v>
      </c>
      <c r="B16" s="34">
        <v>178773620</v>
      </c>
      <c r="C16" s="33">
        <v>33000000</v>
      </c>
      <c r="D16" s="33">
        <v>11996688</v>
      </c>
      <c r="E16" s="33">
        <v>1650000</v>
      </c>
      <c r="F16" s="32">
        <f t="shared" si="1"/>
        <v>225420308</v>
      </c>
      <c r="G16" s="31" t="s">
        <v>83</v>
      </c>
      <c r="H16" s="31" t="s">
        <v>82</v>
      </c>
      <c r="I16" s="20"/>
      <c r="J16" s="20"/>
    </row>
    <row r="17" spans="1:10" ht="24.9" customHeight="1" x14ac:dyDescent="0.4">
      <c r="A17" s="30" t="s">
        <v>81</v>
      </c>
      <c r="B17" s="29">
        <v>14574428</v>
      </c>
      <c r="C17" s="28">
        <v>7663172</v>
      </c>
      <c r="D17" s="28">
        <v>745437</v>
      </c>
      <c r="E17" s="28">
        <v>1650000</v>
      </c>
      <c r="F17" s="27">
        <f t="shared" si="1"/>
        <v>24633037</v>
      </c>
      <c r="G17" s="31">
        <v>5219780056</v>
      </c>
      <c r="H17" s="26">
        <f>F19/G17</f>
        <v>0.15366379912464265</v>
      </c>
      <c r="I17" s="20"/>
      <c r="J17" s="20"/>
    </row>
    <row r="18" spans="1:10" ht="24.9" customHeight="1" x14ac:dyDescent="0.4">
      <c r="A18" s="30" t="s">
        <v>80</v>
      </c>
      <c r="B18" s="29"/>
      <c r="C18" s="28"/>
      <c r="D18" s="28"/>
      <c r="E18" s="28">
        <v>1650000</v>
      </c>
      <c r="F18" s="27">
        <f t="shared" si="1"/>
        <v>1650000</v>
      </c>
      <c r="G18" s="18">
        <v>-300000000</v>
      </c>
      <c r="H18" s="26" t="s">
        <v>79</v>
      </c>
      <c r="I18" s="20"/>
      <c r="J18" s="20"/>
    </row>
    <row r="19" spans="1:10" ht="24.9" customHeight="1" x14ac:dyDescent="0.4">
      <c r="A19" s="25" t="s">
        <v>78</v>
      </c>
      <c r="B19" s="24">
        <f>SUM(B12:B18)</f>
        <v>360849416</v>
      </c>
      <c r="C19" s="24">
        <f>SUM(C12:C18)</f>
        <v>328435502</v>
      </c>
      <c r="D19" s="24">
        <f>SUM(D12:D18)</f>
        <v>103385349</v>
      </c>
      <c r="E19" s="24">
        <f>SUM(E12:E18)</f>
        <v>9420967</v>
      </c>
      <c r="F19" s="23">
        <f>SUM(F12:F18)</f>
        <v>802091234</v>
      </c>
      <c r="G19" s="22">
        <f>SUM(G17:G18)</f>
        <v>4919780056</v>
      </c>
      <c r="H19" s="21">
        <f>F19/G19</f>
        <v>0.16303396185807051</v>
      </c>
      <c r="I19" s="20"/>
      <c r="J19" s="20"/>
    </row>
    <row r="20" spans="1:10" ht="24.9" customHeight="1" x14ac:dyDescent="0.4">
      <c r="F20" s="19" t="s">
        <v>77</v>
      </c>
      <c r="G20" s="18"/>
    </row>
    <row r="21" spans="1:10" ht="24.9" customHeight="1" x14ac:dyDescent="0.4">
      <c r="F21" s="16"/>
      <c r="G21" s="17"/>
    </row>
    <row r="22" spans="1:10" ht="24.9" customHeight="1" x14ac:dyDescent="0.4">
      <c r="F22" s="16"/>
      <c r="G22" s="15"/>
    </row>
  </sheetData>
  <phoneticPr fontId="7" type="noConversion"/>
  <pageMargins left="0.82677165354330717" right="0.43307086614173229" top="0.74803149606299213" bottom="0.74803149606299213" header="0.31496062992125984" footer="0.31496062992125984"/>
  <pageSetup paperSize="9" scale="90" orientation="landscape" r:id="rId1"/>
  <headerFooter>
    <oddFooter>&amp;C&amp;"Arial Unicode MS,보통"&amp;9주식회사 지엘  &amp;D  &amp;T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① 월별합계_Layer1</vt:lpstr>
      <vt:lpstr>② 24-25시즌_제품별</vt:lpstr>
      <vt:lpstr>③ 25-26시즌_제품별</vt:lpstr>
      <vt:lpstr>광고비등비용</vt:lpstr>
      <vt:lpstr>광고비등비용!Print_Area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2026-04-16T14:41:21Z</dcterms:created>
  <dcterms:modified xsi:type="dcterms:W3CDTF">2026-04-17T12:50:41Z</dcterms:modified>
</cp:coreProperties>
</file>