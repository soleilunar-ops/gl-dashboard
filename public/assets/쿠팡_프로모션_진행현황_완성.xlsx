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256" windowHeight="11928" tabRatio="600" firstSheet="0" activeTab="0" autoFilterDateGrouping="1"/>
  </bookViews>
  <sheets>
    <sheet xmlns:r="http://schemas.openxmlformats.org/officeDocument/2006/relationships" name="25년" sheetId="1" state="visible" r:id="rId1"/>
    <sheet xmlns:r="http://schemas.openxmlformats.org/officeDocument/2006/relationships" name="24년" sheetId="2" state="visible" r:id="rId2"/>
  </sheets>
  <definedNames>
    <definedName name="_xlnm.Print_Area" localSheetId="0">'25년'!$B$2:$L$61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282B3A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Arial"/>
      <b val="1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FFF4F4F4"/>
        <bgColor rgb="FF000000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4F4F4"/>
        <bgColor rgb="00F4F4F4"/>
      </patternFill>
    </fill>
    <fill>
      <patternFill patternType="solid">
        <fgColor rgb="00E2EFDA"/>
        <bgColor rgb="00E2EFDA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14" fontId="3" fillId="0" borderId="8" applyAlignment="1" pivotButton="0" quotePrefix="0" xfId="0">
      <alignment horizontal="center" vertical="center" wrapText="1"/>
    </xf>
    <xf numFmtId="3" fontId="3" fillId="0" borderId="8" applyAlignment="1" pivotButton="0" quotePrefix="0" xfId="0">
      <alignment horizontal="center" vertical="center" wrapText="1"/>
    </xf>
    <xf numFmtId="3" fontId="3" fillId="3" borderId="9" applyAlignment="1" pivotButton="0" quotePrefix="0" xfId="0">
      <alignment horizontal="center" vertical="center" wrapText="1"/>
    </xf>
    <xf numFmtId="3" fontId="3" fillId="4" borderId="9" applyAlignment="1" pivotButton="0" quotePrefix="0" xfId="0">
      <alignment horizontal="center" vertical="center" wrapText="1"/>
    </xf>
    <xf numFmtId="3" fontId="3" fillId="5" borderId="9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center"/>
    </xf>
    <xf numFmtId="0" fontId="3" fillId="0" borderId="12" applyAlignment="1" pivotButton="0" quotePrefix="0" xfId="0">
      <alignment horizontal="left" vertical="center" wrapText="1"/>
    </xf>
    <xf numFmtId="3" fontId="3" fillId="6" borderId="9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3" fontId="3" fillId="0" borderId="9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/>
    </xf>
    <xf numFmtId="0" fontId="3" fillId="0" borderId="14" applyAlignment="1" pivotButton="0" quotePrefix="0" xfId="0">
      <alignment horizontal="left" vertical="center" wrapText="1"/>
    </xf>
    <xf numFmtId="0" fontId="3" fillId="0" borderId="16" applyAlignment="1" pivotButton="0" quotePrefix="0" xfId="0">
      <alignment horizontal="left" vertical="center" wrapText="1"/>
    </xf>
    <xf numFmtId="3" fontId="3" fillId="8" borderId="18" applyAlignment="1" pivotButton="0" quotePrefix="0" xfId="0">
      <alignment horizontal="center" vertical="center" wrapText="1"/>
    </xf>
    <xf numFmtId="3" fontId="3" fillId="8" borderId="19" applyAlignment="1" pivotButton="0" quotePrefix="0" xfId="0">
      <alignment horizontal="center" vertical="center" wrapText="1"/>
    </xf>
    <xf numFmtId="3" fontId="4" fillId="9" borderId="19" applyAlignment="1" pivotButton="0" quotePrefix="0" xfId="0">
      <alignment horizontal="righ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4" borderId="23" applyAlignment="1" pivotButton="0" quotePrefix="0" xfId="0">
      <alignment horizontal="center" vertical="center"/>
    </xf>
    <xf numFmtId="3" fontId="3" fillId="10" borderId="9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left" vertical="center" wrapText="1"/>
    </xf>
    <xf numFmtId="0" fontId="3" fillId="0" borderId="28" applyAlignment="1" pivotButton="0" quotePrefix="0" xfId="0">
      <alignment horizontal="center" vertical="center" wrapText="1"/>
    </xf>
    <xf numFmtId="14" fontId="3" fillId="0" borderId="28" applyAlignment="1" pivotButton="0" quotePrefix="0" xfId="0">
      <alignment horizontal="center" vertical="center" wrapText="1"/>
    </xf>
    <xf numFmtId="3" fontId="3" fillId="0" borderId="28" applyAlignment="1" pivotButton="0" quotePrefix="0" xfId="0">
      <alignment horizontal="center" vertical="center" wrapText="1"/>
    </xf>
    <xf numFmtId="3" fontId="3" fillId="0" borderId="29" applyAlignment="1" pivotButton="0" quotePrefix="0" xfId="0">
      <alignment horizontal="center" vertical="center" wrapText="1"/>
    </xf>
    <xf numFmtId="3" fontId="3" fillId="5" borderId="29" applyAlignment="1" pivotButton="0" quotePrefix="0" xfId="0">
      <alignment horizontal="right" vertical="center" wrapText="1"/>
    </xf>
    <xf numFmtId="0" fontId="0" fillId="8" borderId="18" pivotButton="0" quotePrefix="0" xfId="0"/>
    <xf numFmtId="0" fontId="0" fillId="8" borderId="19" pivotButton="0" quotePrefix="0" xfId="0"/>
    <xf numFmtId="3" fontId="5" fillId="9" borderId="19" applyAlignment="1" pivotButton="0" quotePrefix="0" xfId="0">
      <alignment horizontal="right"/>
    </xf>
    <xf numFmtId="0" fontId="0" fillId="0" borderId="30" pivotButton="0" quotePrefix="0" xfId="0"/>
    <xf numFmtId="0" fontId="3" fillId="4" borderId="8" applyAlignment="1" pivotButton="0" quotePrefix="0" xfId="0">
      <alignment horizontal="left" vertical="center" wrapText="1"/>
    </xf>
    <xf numFmtId="0" fontId="3" fillId="4" borderId="8" applyAlignment="1" pivotButton="0" quotePrefix="0" xfId="0">
      <alignment horizontal="center" vertical="center" wrapText="1"/>
    </xf>
    <xf numFmtId="14" fontId="3" fillId="4" borderId="8" applyAlignment="1" pivotButton="0" quotePrefix="0" xfId="0">
      <alignment horizontal="center" vertical="center" wrapText="1"/>
    </xf>
    <xf numFmtId="3" fontId="3" fillId="4" borderId="8" applyAlignment="1" pivotButton="0" quotePrefix="0" xfId="0">
      <alignment horizontal="center" vertical="center" wrapText="1"/>
    </xf>
    <xf numFmtId="3" fontId="7" fillId="10" borderId="19" applyAlignment="1" pivotButton="0" quotePrefix="0" xfId="0">
      <alignment horizontal="right"/>
    </xf>
    <xf numFmtId="0" fontId="0" fillId="0" borderId="29" pivotButton="0" quotePrefix="0" xfId="0"/>
    <xf numFmtId="0" fontId="0" fillId="0" borderId="15" pivotButton="0" quotePrefix="0" xfId="0"/>
    <xf numFmtId="0" fontId="0" fillId="0" borderId="31" pivotButton="0" quotePrefix="0" xfId="0"/>
    <xf numFmtId="0" fontId="0" fillId="0" borderId="32" pivotButton="0" quotePrefix="0" xfId="0"/>
    <xf numFmtId="0" fontId="3" fillId="7" borderId="17" applyAlignment="1" pivotButton="0" quotePrefix="0" xfId="0">
      <alignment horizontal="center" vertical="center" wrapText="1"/>
    </xf>
    <xf numFmtId="0" fontId="3" fillId="7" borderId="18" applyAlignment="1" pivotButton="0" quotePrefix="0" xfId="0">
      <alignment horizontal="center" vertical="center" wrapText="1"/>
    </xf>
    <xf numFmtId="0" fontId="0" fillId="8" borderId="18" applyAlignment="1" pivotButton="0" quotePrefix="0" xfId="0">
      <alignment horizontal="center"/>
    </xf>
    <xf numFmtId="0" fontId="0" fillId="8" borderId="19" applyAlignment="1" pivotButton="0" quotePrefix="0" xfId="0">
      <alignment horizontal="center"/>
    </xf>
    <xf numFmtId="0" fontId="6" fillId="8" borderId="17" applyAlignment="1" pivotButton="0" quotePrefix="0" xfId="0">
      <alignment horizontal="center"/>
    </xf>
    <xf numFmtId="0" fontId="6" fillId="8" borderId="19" applyAlignment="1" pivotButton="0" quotePrefix="0" xfId="0">
      <alignment horizontal="center"/>
    </xf>
    <xf numFmtId="0" fontId="3" fillId="0" borderId="24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 vertical="center"/>
    </xf>
    <xf numFmtId="0" fontId="0" fillId="4" borderId="23" applyAlignment="1" pivotButton="0" quotePrefix="0" xfId="0">
      <alignment horizontal="center" vertical="center"/>
    </xf>
    <xf numFmtId="0" fontId="3" fillId="11" borderId="20" applyAlignment="1" pivotButton="0" quotePrefix="0" xfId="0">
      <alignment horizontal="center" vertical="center" wrapText="1"/>
    </xf>
    <xf numFmtId="0" fontId="3" fillId="11" borderId="11" applyAlignment="1" pivotButton="0" quotePrefix="0" xfId="0">
      <alignment horizontal="center" vertical="center" wrapText="1"/>
    </xf>
    <xf numFmtId="0" fontId="3" fillId="11" borderId="15" applyAlignment="1" pivotButton="0" quotePrefix="0" xfId="0">
      <alignment horizontal="center" vertical="center" wrapText="1"/>
    </xf>
    <xf numFmtId="0" fontId="3" fillId="11" borderId="24" applyAlignment="1" pivotButton="0" quotePrefix="0" xfId="0">
      <alignment horizontal="center" vertical="center" wrapText="1"/>
    </xf>
    <xf numFmtId="0" fontId="3" fillId="11" borderId="25" applyAlignment="1" pivotButton="0" quotePrefix="0" xfId="0">
      <alignment horizontal="center" vertical="center" wrapText="1"/>
    </xf>
    <xf numFmtId="0" fontId="3" fillId="11" borderId="26" applyAlignment="1" pivotButton="0" quotePrefix="0" xfId="0">
      <alignment horizontal="center" vertical="center" wrapText="1"/>
    </xf>
    <xf numFmtId="0" fontId="3" fillId="11" borderId="27" applyAlignment="1" pivotButton="0" quotePrefix="0" xfId="0">
      <alignment horizontal="center" vertical="center" wrapText="1"/>
    </xf>
    <xf numFmtId="0" fontId="3" fillId="11" borderId="8" applyAlignment="1" pivotButton="0" quotePrefix="0" xfId="0">
      <alignment horizontal="left" vertical="center" wrapText="1"/>
    </xf>
    <xf numFmtId="0" fontId="8" fillId="11" borderId="8" applyAlignment="1" pivotButton="0" quotePrefix="0" xfId="0">
      <alignment horizontal="left" vertical="center" wrapText="1"/>
    </xf>
    <xf numFmtId="0" fontId="2" fillId="2" borderId="3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3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8" pivotButton="0" quotePrefix="0" xfId="0"/>
    <xf numFmtId="0" fontId="3" fillId="11" borderId="17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3" fillId="11" borderId="37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11" borderId="3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37" applyAlignment="1" pivotButton="0" quotePrefix="0" xfId="0">
      <alignment horizontal="center" vertical="center" wrapText="1"/>
    </xf>
    <xf numFmtId="0" fontId="0" fillId="0" borderId="19" pivotButton="0" quotePrefix="0" xfId="0"/>
    <xf numFmtId="0" fontId="6" fillId="8" borderId="39" applyAlignment="1" pivotButton="0" quotePrefix="0" xfId="0">
      <alignment horizontal="center"/>
    </xf>
    <xf numFmtId="0" fontId="9" fillId="12" borderId="40" applyAlignment="1" pivotButton="0" quotePrefix="0" xfId="0">
      <alignment horizontal="center" vertical="center" wrapText="1"/>
    </xf>
    <xf numFmtId="0" fontId="10" fillId="0" borderId="40" applyAlignment="1" pivotButton="0" quotePrefix="0" xfId="0">
      <alignment horizontal="center" vertical="center" wrapText="1"/>
    </xf>
    <xf numFmtId="0" fontId="10" fillId="0" borderId="40" applyAlignment="1" pivotButton="0" quotePrefix="0" xfId="0">
      <alignment horizontal="left" vertical="center" wrapText="1"/>
    </xf>
    <xf numFmtId="3" fontId="10" fillId="0" borderId="40" applyAlignment="1" pivotButton="0" quotePrefix="0" xfId="0">
      <alignment horizontal="right" vertical="center"/>
    </xf>
    <xf numFmtId="0" fontId="0" fillId="13" borderId="40" pivotButton="0" quotePrefix="0" xfId="0"/>
    <xf numFmtId="3" fontId="9" fillId="13" borderId="40" applyAlignment="1" pivotButton="0" quotePrefix="0" xfId="0">
      <alignment horizontal="right" vertical="center"/>
    </xf>
    <xf numFmtId="0" fontId="9" fillId="0" borderId="40" applyAlignment="1" pivotButton="0" quotePrefix="0" xfId="0">
      <alignment horizontal="center" vertical="center" wrapText="1"/>
    </xf>
    <xf numFmtId="3" fontId="9" fillId="0" borderId="4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P63"/>
  <sheetViews>
    <sheetView tabSelected="1" topLeftCell="A4" zoomScale="85" zoomScaleNormal="85" workbookViewId="0">
      <selection activeCell="B12" sqref="B12:B16"/>
    </sheetView>
  </sheetViews>
  <sheetFormatPr baseColWidth="8" defaultRowHeight="17.4"/>
  <cols>
    <col width="31.5" customWidth="1" min="3" max="3"/>
    <col width="10.69921875" customWidth="1" min="4" max="4"/>
    <col width="11.69921875" customWidth="1" min="5" max="5"/>
    <col width="11.69921875" bestFit="1" customWidth="1" min="6" max="6"/>
    <col width="12.3984375" bestFit="1" customWidth="1" min="7" max="7"/>
    <col width="11.5" customWidth="1" min="8" max="10"/>
    <col width="12.5" customWidth="1" min="11" max="11"/>
    <col width="16.59765625" bestFit="1" customWidth="1" min="12" max="12"/>
  </cols>
  <sheetData>
    <row r="1" ht="18" customHeight="1" thickBot="1"/>
    <row r="2" ht="23.25" customHeight="1" thickBot="1">
      <c r="B2" s="1" t="inlineStr">
        <is>
          <t>기간별</t>
        </is>
      </c>
      <c r="C2" s="2" t="inlineStr">
        <is>
          <t>종류</t>
        </is>
      </c>
      <c r="D2" s="2" t="inlineStr">
        <is>
          <t>계약서NO</t>
        </is>
      </c>
      <c r="E2" s="2" t="inlineStr">
        <is>
          <t>계약기간시작</t>
        </is>
      </c>
      <c r="F2" s="2" t="inlineStr">
        <is>
          <t>계약기간종료</t>
        </is>
      </c>
      <c r="G2" s="2" t="inlineStr">
        <is>
          <t>계약서 예산</t>
        </is>
      </c>
      <c r="H2" s="73" t="inlineStr">
        <is>
          <t>부담 금액</t>
        </is>
      </c>
      <c r="I2" s="74" t="n"/>
      <c r="J2" s="75" t="n"/>
      <c r="K2" s="57" t="inlineStr">
        <is>
          <t>소계</t>
        </is>
      </c>
      <c r="L2" s="57" t="inlineStr">
        <is>
          <t>비고</t>
        </is>
      </c>
    </row>
    <row r="3" ht="18" customHeight="1" thickTop="1">
      <c r="B3" s="76" t="inlineStr">
        <is>
          <t>시즌</t>
        </is>
      </c>
      <c r="C3" s="4" t="inlineStr">
        <is>
          <t>방한용품/포근하고따뜻한겨울나기</t>
        </is>
      </c>
      <c r="D3" s="5" t="n">
        <v>1931438</v>
      </c>
      <c r="E3" s="6" t="inlineStr">
        <is>
          <t>2025.10.14</t>
        </is>
      </c>
      <c r="F3" s="6" t="inlineStr">
        <is>
          <t>2026.2.17</t>
        </is>
      </c>
      <c r="G3" s="7" t="n">
        <v>10000000</v>
      </c>
      <c r="H3" s="8" t="n">
        <v>3020040</v>
      </c>
      <c r="I3" s="8" t="n">
        <v>6948850</v>
      </c>
      <c r="J3" s="9" t="n">
        <v>-5310</v>
      </c>
      <c r="K3" s="10">
        <f>SUM(H3:J3)</f>
        <v/>
      </c>
      <c r="L3" s="11" t="inlineStr">
        <is>
          <t>소진</t>
        </is>
      </c>
    </row>
    <row r="4">
      <c r="B4" s="77" t="n"/>
      <c r="C4" s="12" t="inlineStr">
        <is>
          <t>방한용품/포근하고따뜻한겨울나기(추가)</t>
        </is>
      </c>
      <c r="D4" s="5" t="n">
        <v>1940799</v>
      </c>
      <c r="E4" s="6" t="inlineStr">
        <is>
          <t>2025.10.17</t>
        </is>
      </c>
      <c r="F4" s="6" t="inlineStr">
        <is>
          <t>2026.2.17</t>
        </is>
      </c>
      <c r="G4" s="7" t="n">
        <v>3000000</v>
      </c>
      <c r="H4" s="8" t="n">
        <v>1054860</v>
      </c>
      <c r="I4" s="13" t="n">
        <v>1935670</v>
      </c>
      <c r="J4" s="13" t="n">
        <v>-750</v>
      </c>
      <c r="K4" s="10">
        <f>SUM(H4:J4)</f>
        <v/>
      </c>
      <c r="L4" s="14" t="inlineStr">
        <is>
          <t>소진</t>
        </is>
      </c>
    </row>
    <row r="5">
      <c r="B5" s="77" t="n"/>
      <c r="C5" s="12" t="inlineStr">
        <is>
          <t>방한용품/포근하고따뜻한겨울나기</t>
        </is>
      </c>
      <c r="D5" s="5" t="n">
        <v>1985466</v>
      </c>
      <c r="E5" s="6" t="inlineStr">
        <is>
          <t>2025.11.18</t>
        </is>
      </c>
      <c r="F5" s="6" t="inlineStr">
        <is>
          <t>2026.2.17</t>
        </is>
      </c>
      <c r="G5" s="7" t="n">
        <v>10000000</v>
      </c>
      <c r="H5" s="8" t="n">
        <v>9983996</v>
      </c>
      <c r="I5" s="13" t="n">
        <v>-12758</v>
      </c>
      <c r="J5" s="15" t="n">
        <v>-320</v>
      </c>
      <c r="K5" s="10">
        <f>SUM(H5:J5)</f>
        <v/>
      </c>
      <c r="L5" s="14" t="inlineStr">
        <is>
          <t>소진</t>
        </is>
      </c>
    </row>
    <row r="6">
      <c r="B6" s="77" t="n"/>
      <c r="C6" s="12" t="inlineStr">
        <is>
          <t>방한용품/포근하고따뜻한겨울나기</t>
        </is>
      </c>
      <c r="D6" s="5" t="n">
        <v>2015743</v>
      </c>
      <c r="E6" s="6" t="inlineStr">
        <is>
          <t>2025.12.02</t>
        </is>
      </c>
      <c r="F6" s="6" t="inlineStr">
        <is>
          <t>2026.2.17</t>
        </is>
      </c>
      <c r="G6" s="7" t="n">
        <v>20000000</v>
      </c>
      <c r="H6" s="8" t="n">
        <v>19961910</v>
      </c>
      <c r="I6" s="15" t="n">
        <v>-6370</v>
      </c>
      <c r="J6" s="15" t="n"/>
      <c r="K6" s="10">
        <f>SUM(H6:J6)</f>
        <v/>
      </c>
      <c r="L6" s="14" t="inlineStr">
        <is>
          <t>소진</t>
        </is>
      </c>
    </row>
    <row r="7">
      <c r="B7" s="77" t="n"/>
      <c r="C7" s="12" t="inlineStr">
        <is>
          <t>방한용품/포근하고따뜻한겨울나기</t>
        </is>
      </c>
      <c r="D7" s="5" t="n">
        <v>2047374</v>
      </c>
      <c r="E7" s="6" t="inlineStr">
        <is>
          <t>2025.12.19</t>
        </is>
      </c>
      <c r="F7" s="6" t="inlineStr">
        <is>
          <t>2026.2.17</t>
        </is>
      </c>
      <c r="G7" s="7" t="n">
        <v>20000000</v>
      </c>
      <c r="H7" s="8" t="n">
        <v>10467224</v>
      </c>
      <c r="I7" s="8" t="n">
        <v>9481677</v>
      </c>
      <c r="J7" s="15" t="n">
        <v>-7260</v>
      </c>
      <c r="K7" s="10">
        <f>SUM(H7:J7)</f>
        <v/>
      </c>
      <c r="L7" s="16" t="inlineStr">
        <is>
          <t>소진</t>
        </is>
      </c>
    </row>
    <row r="8">
      <c r="B8" s="77" t="n"/>
      <c r="C8" s="12" t="inlineStr">
        <is>
          <t>방한용품/포근하고따뜻한겨울나기</t>
        </is>
      </c>
      <c r="D8" s="5" t="n">
        <v>2109812</v>
      </c>
      <c r="E8" s="6" t="inlineStr">
        <is>
          <t>2026.1.26</t>
        </is>
      </c>
      <c r="F8" s="6" t="inlineStr">
        <is>
          <t>2026.2.17</t>
        </is>
      </c>
      <c r="G8" s="7" t="n">
        <v>20000000</v>
      </c>
      <c r="H8" s="9" t="n">
        <v>3205846</v>
      </c>
      <c r="I8" s="9" t="n">
        <v>6448450</v>
      </c>
      <c r="J8" s="15" t="n"/>
      <c r="K8" s="10">
        <f>SUM(H8:J8)</f>
        <v/>
      </c>
      <c r="L8" s="16" t="n"/>
      <c r="M8" t="inlineStr">
        <is>
          <t>전팀장님</t>
        </is>
      </c>
    </row>
    <row r="9">
      <c r="B9" s="77" t="n"/>
      <c r="C9" s="17" t="inlineStr">
        <is>
          <t>쿠팡 체험단 프로그램</t>
        </is>
      </c>
      <c r="D9" s="5" t="n">
        <v>2056139</v>
      </c>
      <c r="E9" s="6" t="inlineStr">
        <is>
          <t>2025.12.29</t>
        </is>
      </c>
      <c r="F9" s="6" t="inlineStr">
        <is>
          <t>2025.12.31</t>
        </is>
      </c>
      <c r="G9" s="7" t="n">
        <v>4000000</v>
      </c>
      <c r="H9" s="15" t="n">
        <v>4226190</v>
      </c>
      <c r="I9" s="15" t="n"/>
      <c r="J9" s="15" t="n"/>
      <c r="K9" s="10">
        <f>SUM(H9:J9)</f>
        <v/>
      </c>
      <c r="L9" s="16" t="n"/>
    </row>
    <row r="10" ht="18" customHeight="1" thickBot="1">
      <c r="B10" s="41" t="n"/>
      <c r="C10" s="18" t="inlineStr">
        <is>
          <t>쿠팡 체험단 프로그램</t>
        </is>
      </c>
      <c r="D10" s="5" t="n">
        <v>2142213</v>
      </c>
      <c r="E10" s="6" t="inlineStr">
        <is>
          <t>2026.2.28</t>
        </is>
      </c>
      <c r="F10" s="6" t="inlineStr">
        <is>
          <t>2026.2.28</t>
        </is>
      </c>
      <c r="G10" s="7" t="n">
        <v>3750000</v>
      </c>
      <c r="H10" s="15" t="n">
        <v>4377273</v>
      </c>
      <c r="I10" s="15" t="n"/>
      <c r="J10" s="15" t="n"/>
      <c r="K10" s="10">
        <f>SUM(H10:J10)</f>
        <v/>
      </c>
      <c r="L10" s="16" t="n"/>
    </row>
    <row r="11" ht="18" customHeight="1" thickBot="1">
      <c r="B11" s="44" t="n"/>
      <c r="C11" s="78" t="n"/>
      <c r="D11" s="78" t="n"/>
      <c r="E11" s="78" t="n"/>
      <c r="F11" s="78" t="n"/>
      <c r="G11" s="19" t="n"/>
      <c r="H11" s="19" t="n"/>
      <c r="I11" s="19" t="n"/>
      <c r="J11" s="20" t="n"/>
      <c r="K11" s="21">
        <f>SUM(K3:K10)</f>
        <v/>
      </c>
      <c r="L11" s="16" t="n"/>
    </row>
    <row r="12">
      <c r="B12" s="79" t="inlineStr">
        <is>
          <t>광고</t>
        </is>
      </c>
      <c r="C12" s="22" t="inlineStr">
        <is>
          <t>[표준] 광고 게재 신청서</t>
        </is>
      </c>
      <c r="D12" s="5" t="n">
        <v>1913799</v>
      </c>
      <c r="E12" s="6" t="inlineStr">
        <is>
          <t>2025.10.07</t>
        </is>
      </c>
      <c r="F12" s="6" t="inlineStr">
        <is>
          <t>2025.10.27</t>
        </is>
      </c>
      <c r="G12" s="7" t="n">
        <v>40000000</v>
      </c>
      <c r="H12" s="13" t="n">
        <v>40000000</v>
      </c>
      <c r="I12" s="15" t="n"/>
      <c r="J12" s="15" t="n"/>
      <c r="K12" s="10">
        <f>SUM(H12:J12)</f>
        <v/>
      </c>
      <c r="L12" s="80" t="inlineStr">
        <is>
          <t>25'광고 2.2억</t>
        </is>
      </c>
    </row>
    <row r="13">
      <c r="B13" s="77" t="n"/>
      <c r="C13" s="22" t="inlineStr">
        <is>
          <t>[표준] 광고 게재 신청서</t>
        </is>
      </c>
      <c r="D13" s="5" t="n">
        <v>1968104</v>
      </c>
      <c r="E13" s="6" t="inlineStr">
        <is>
          <t>2025.11.11</t>
        </is>
      </c>
      <c r="F13" s="6" t="inlineStr">
        <is>
          <t>2025.11.29</t>
        </is>
      </c>
      <c r="G13" s="7" t="n">
        <v>50000000</v>
      </c>
      <c r="H13" s="13" t="n">
        <v>50000000</v>
      </c>
      <c r="I13" s="15" t="n"/>
      <c r="J13" s="15" t="n"/>
      <c r="K13" s="10">
        <f>SUM(H13:J13)</f>
        <v/>
      </c>
      <c r="L13" s="81" t="n"/>
    </row>
    <row r="14">
      <c r="B14" s="77" t="n"/>
      <c r="C14" s="22" t="inlineStr">
        <is>
          <t>[표준] 광고 게재 신청서</t>
        </is>
      </c>
      <c r="D14" s="5" t="n">
        <v>1982407</v>
      </c>
      <c r="E14" s="6" t="inlineStr">
        <is>
          <t>2025.11.24</t>
        </is>
      </c>
      <c r="F14" s="6" t="inlineStr">
        <is>
          <t>2025.11.27</t>
        </is>
      </c>
      <c r="G14" s="7" t="n">
        <v>40000000</v>
      </c>
      <c r="H14" s="13" t="n">
        <v>20000000</v>
      </c>
      <c r="I14" s="15" t="n"/>
      <c r="J14" s="15" t="n"/>
      <c r="K14" s="10">
        <f>SUM(H14:J14)</f>
        <v/>
      </c>
      <c r="L14" s="81" t="n"/>
    </row>
    <row r="15">
      <c r="B15" s="77" t="n"/>
      <c r="C15" s="22" t="inlineStr">
        <is>
          <t>[표준] 광고 게재 신청서</t>
        </is>
      </c>
      <c r="D15" s="5" t="n">
        <v>2003350</v>
      </c>
      <c r="E15" s="6" t="inlineStr">
        <is>
          <t>2025.12.05</t>
        </is>
      </c>
      <c r="F15" s="6" t="inlineStr">
        <is>
          <t>2025.12.30</t>
        </is>
      </c>
      <c r="G15" s="7" t="n">
        <v>100000000</v>
      </c>
      <c r="H15" s="13" t="n">
        <v>100000000</v>
      </c>
      <c r="I15" s="15" t="n"/>
      <c r="J15" s="15" t="n"/>
      <c r="K15" s="10">
        <f>SUM(H15:J15)</f>
        <v/>
      </c>
      <c r="L15" s="82" t="n"/>
    </row>
    <row r="16" ht="18" customHeight="1" thickBot="1">
      <c r="B16" s="41" t="n"/>
      <c r="C16" s="22" t="inlineStr">
        <is>
          <t>[표준] 광고 게재 신청서</t>
        </is>
      </c>
      <c r="D16" s="5" t="n">
        <v>2094824</v>
      </c>
      <c r="E16" s="6" t="inlineStr">
        <is>
          <t>2026.1.26</t>
        </is>
      </c>
      <c r="F16" s="6" t="inlineStr">
        <is>
          <t>2026.1.29</t>
        </is>
      </c>
      <c r="G16" s="7" t="n">
        <v>30000000</v>
      </c>
      <c r="H16" s="13" t="n">
        <v>30000000</v>
      </c>
      <c r="I16" s="15" t="n"/>
      <c r="J16" s="15" t="n"/>
      <c r="K16" s="10">
        <f>SUM(H16:J16)</f>
        <v/>
      </c>
      <c r="L16" s="63" t="inlineStr">
        <is>
          <t>박상병추가광고</t>
        </is>
      </c>
    </row>
    <row r="17" ht="18" customHeight="1" thickBot="1">
      <c r="B17" s="44" t="n"/>
      <c r="C17" s="78" t="n"/>
      <c r="D17" s="78" t="n"/>
      <c r="E17" s="78" t="n"/>
      <c r="F17" s="78" t="n"/>
      <c r="G17" s="19" t="n"/>
      <c r="H17" s="19" t="n"/>
      <c r="I17" s="19" t="n"/>
      <c r="J17" s="20" t="n"/>
      <c r="K17" s="21">
        <f>SUM(K12:K16)</f>
        <v/>
      </c>
      <c r="L17" s="16" t="n"/>
    </row>
    <row r="18">
      <c r="B18" s="83" t="inlineStr">
        <is>
          <t>10월</t>
        </is>
      </c>
      <c r="C18" s="22" t="inlineStr">
        <is>
          <t>10월19일 골드박스_하루온</t>
        </is>
      </c>
      <c r="D18" s="5" t="n">
        <v>1939434</v>
      </c>
      <c r="E18" s="6" t="inlineStr">
        <is>
          <t>2025.10.19</t>
        </is>
      </c>
      <c r="F18" s="6" t="inlineStr">
        <is>
          <t>2025.10.20</t>
        </is>
      </c>
      <c r="G18" s="7" t="n">
        <v>2500000</v>
      </c>
      <c r="H18" s="9" t="n">
        <v>1749360</v>
      </c>
      <c r="I18" s="9" t="n">
        <v>-31520</v>
      </c>
      <c r="J18" s="9" t="n"/>
      <c r="K18" s="10">
        <f>SUM(H18:J18)</f>
        <v/>
      </c>
      <c r="L18" s="16" t="n"/>
    </row>
    <row r="19" ht="18" customHeight="1" thickBot="1">
      <c r="B19" s="84" t="n"/>
      <c r="C19" s="22" t="inlineStr">
        <is>
          <t>방한용품 할인관</t>
        </is>
      </c>
      <c r="D19" s="5" t="n">
        <v>1940284</v>
      </c>
      <c r="E19" s="6" t="inlineStr">
        <is>
          <t>2025.10.27</t>
        </is>
      </c>
      <c r="F19" s="6" t="inlineStr">
        <is>
          <t>2025.11.03</t>
        </is>
      </c>
      <c r="G19" s="7" t="n">
        <v>8000000</v>
      </c>
      <c r="H19" s="8" t="n">
        <v>7953470</v>
      </c>
      <c r="I19" s="13" t="n">
        <v>-17900</v>
      </c>
      <c r="J19" s="9" t="n"/>
      <c r="K19" s="10">
        <f>SUM(H19:J19)</f>
        <v/>
      </c>
      <c r="L19" s="16" t="n"/>
    </row>
    <row r="20" ht="18" customHeight="1" thickBot="1">
      <c r="B20" s="44" t="n"/>
      <c r="C20" s="78" t="n"/>
      <c r="D20" s="78" t="n"/>
      <c r="E20" s="78" t="n"/>
      <c r="F20" s="78" t="n"/>
      <c r="G20" s="19" t="n"/>
      <c r="H20" s="19" t="n"/>
      <c r="I20" s="19" t="n"/>
      <c r="J20" s="20" t="n"/>
      <c r="K20" s="21">
        <f>SUM(K18:K19)</f>
        <v/>
      </c>
      <c r="L20" s="16" t="n"/>
    </row>
    <row r="21">
      <c r="B21" s="85" t="inlineStr">
        <is>
          <t>11월</t>
        </is>
      </c>
      <c r="C21" s="22" t="inlineStr">
        <is>
          <t>11월11일 골드박스_하루온</t>
        </is>
      </c>
      <c r="D21" s="5" t="n">
        <v>1969760</v>
      </c>
      <c r="E21" s="6" t="inlineStr">
        <is>
          <t>2025.11.11</t>
        </is>
      </c>
      <c r="F21" s="6" t="inlineStr">
        <is>
          <t>2025.11.12</t>
        </is>
      </c>
      <c r="G21" s="7" t="n">
        <v>5000000</v>
      </c>
      <c r="H21" s="9" t="n">
        <v>1627500</v>
      </c>
      <c r="I21" s="9" t="n">
        <v>-7500</v>
      </c>
      <c r="J21" s="9" t="n"/>
      <c r="K21" s="10">
        <f>SUM(H21:J21)</f>
        <v/>
      </c>
      <c r="L21" s="16" t="n"/>
    </row>
    <row r="22">
      <c r="B22" s="86" t="n"/>
      <c r="C22" s="22" t="inlineStr">
        <is>
          <t>방한용품 즉시할인</t>
        </is>
      </c>
      <c r="D22" s="5" t="n">
        <v>1982988</v>
      </c>
      <c r="E22" s="6" t="inlineStr">
        <is>
          <t>2025.11.15</t>
        </is>
      </c>
      <c r="F22" s="6" t="inlineStr">
        <is>
          <t>2025.11.22</t>
        </is>
      </c>
      <c r="G22" s="7" t="n">
        <v>20000000</v>
      </c>
      <c r="H22" s="9" t="n">
        <v>253980</v>
      </c>
      <c r="I22" s="9" t="n">
        <v>-1200</v>
      </c>
      <c r="J22" s="9" t="n"/>
      <c r="K22" s="10">
        <f>SUM(H22:J22)</f>
        <v/>
      </c>
      <c r="L22" s="16" t="inlineStr">
        <is>
          <t>즉시할인</t>
        </is>
      </c>
    </row>
    <row r="23">
      <c r="B23" s="86" t="n"/>
      <c r="C23" s="22" t="inlineStr">
        <is>
          <t>즉시할인</t>
        </is>
      </c>
      <c r="D23" s="5" t="n">
        <v>1985151</v>
      </c>
      <c r="E23" s="6" t="inlineStr">
        <is>
          <t>2025.11.18</t>
        </is>
      </c>
      <c r="F23" s="6" t="inlineStr">
        <is>
          <t>2025.11.22</t>
        </is>
      </c>
      <c r="G23" s="7" t="n">
        <v>10000000</v>
      </c>
      <c r="H23" s="24" t="n">
        <v>4258320</v>
      </c>
      <c r="I23" s="24" t="n">
        <v>-8940</v>
      </c>
      <c r="J23" s="9" t="n"/>
      <c r="K23" s="10">
        <f>SUM(H23:J23)</f>
        <v/>
      </c>
      <c r="L23" s="16" t="inlineStr">
        <is>
          <t>즉시할인</t>
        </is>
      </c>
    </row>
    <row r="24">
      <c r="B24" s="86" t="n"/>
      <c r="C24" s="22" t="inlineStr">
        <is>
          <t>와우더리빙쇼 선착순 특가</t>
        </is>
      </c>
      <c r="D24" s="5" t="n">
        <v>1994221</v>
      </c>
      <c r="E24" s="6" t="inlineStr">
        <is>
          <t>2025.11.24</t>
        </is>
      </c>
      <c r="F24" s="6" t="inlineStr">
        <is>
          <t>2025.11.25</t>
        </is>
      </c>
      <c r="G24" s="7" t="n">
        <v>3000000</v>
      </c>
      <c r="H24" s="15" t="n"/>
      <c r="I24" s="15" t="n"/>
      <c r="J24" s="9" t="n"/>
      <c r="K24" s="10">
        <f>SUM(H24:J24)</f>
        <v/>
      </c>
      <c r="L24" s="16" t="inlineStr">
        <is>
          <t>박상병 10매 단독</t>
        </is>
      </c>
    </row>
    <row r="25">
      <c r="B25" s="86" t="n"/>
      <c r="C25" s="22" t="inlineStr">
        <is>
          <t>즉시할인</t>
        </is>
      </c>
      <c r="D25" s="5" t="n">
        <v>1996880</v>
      </c>
      <c r="E25" s="6" t="inlineStr">
        <is>
          <t>2025.11.23</t>
        </is>
      </c>
      <c r="F25" s="6" t="inlineStr">
        <is>
          <t>2025.11..28</t>
        </is>
      </c>
      <c r="G25" s="7" t="n">
        <v>5000000</v>
      </c>
      <c r="H25" s="24" t="n">
        <v>4469230</v>
      </c>
      <c r="I25" s="9" t="n"/>
      <c r="J25" s="9" t="n"/>
      <c r="K25" s="10">
        <f>SUM(H25:J25)</f>
        <v/>
      </c>
      <c r="L25" s="16" t="n"/>
    </row>
    <row r="26">
      <c r="B26" s="86" t="n"/>
      <c r="C26" s="22" t="inlineStr">
        <is>
          <t>와우더리빙쇼 선착순딜</t>
        </is>
      </c>
      <c r="D26" s="5" t="n">
        <v>1998207</v>
      </c>
      <c r="E26" s="6" t="inlineStr">
        <is>
          <t>2025.11.24</t>
        </is>
      </c>
      <c r="F26" s="6" t="inlineStr">
        <is>
          <t>2025.11.25</t>
        </is>
      </c>
      <c r="G26" s="7" t="n">
        <v>3000000</v>
      </c>
      <c r="H26" s="24" t="n">
        <v>2609750</v>
      </c>
      <c r="I26" s="24" t="n">
        <v>39000</v>
      </c>
      <c r="J26" s="15" t="n"/>
      <c r="K26" s="10">
        <f>SUM(H26:J26)</f>
        <v/>
      </c>
      <c r="L26" s="16" t="inlineStr">
        <is>
          <t>박상병 10매 단독</t>
        </is>
      </c>
    </row>
    <row r="27" ht="18" customHeight="1" thickBot="1">
      <c r="B27" s="87" t="n"/>
      <c r="C27" s="22" t="inlineStr">
        <is>
          <t>즉시할인</t>
        </is>
      </c>
      <c r="D27" s="5" t="n">
        <v>2010777</v>
      </c>
      <c r="E27" s="6" t="inlineStr">
        <is>
          <t>2025.11.29</t>
        </is>
      </c>
      <c r="F27" s="6" t="inlineStr">
        <is>
          <t>2025.12.05</t>
        </is>
      </c>
      <c r="G27" s="7" t="n">
        <v>10000000</v>
      </c>
      <c r="H27" s="9" t="n">
        <v>1002470</v>
      </c>
      <c r="I27" s="9" t="n">
        <v>502810</v>
      </c>
      <c r="J27" s="15" t="n"/>
      <c r="K27" s="10">
        <f>SUM(H27:J27)</f>
        <v/>
      </c>
      <c r="L27" s="16" t="n"/>
    </row>
    <row r="28" ht="18" customHeight="1" thickBot="1">
      <c r="B28" s="44" t="n"/>
      <c r="C28" s="78" t="n"/>
      <c r="D28" s="78" t="n"/>
      <c r="E28" s="78" t="n"/>
      <c r="F28" s="78" t="n"/>
      <c r="G28" s="19" t="n"/>
      <c r="H28" s="19" t="n"/>
      <c r="I28" s="19" t="n"/>
      <c r="J28" s="20" t="n"/>
      <c r="K28" s="21">
        <f>SUM(K21:K27)</f>
        <v/>
      </c>
      <c r="L28" s="16" t="n"/>
    </row>
    <row r="29">
      <c r="B29" s="50" t="inlineStr">
        <is>
          <t>12월</t>
        </is>
      </c>
      <c r="C29" s="22" t="inlineStr">
        <is>
          <t>즉시할인</t>
        </is>
      </c>
      <c r="D29" s="5" t="n">
        <v>2013819</v>
      </c>
      <c r="E29" s="6" t="inlineStr">
        <is>
          <t>2025.12.01</t>
        </is>
      </c>
      <c r="F29" s="6" t="inlineStr">
        <is>
          <t>2025.12.07</t>
        </is>
      </c>
      <c r="G29" s="7" t="n">
        <v>5000000</v>
      </c>
      <c r="H29" s="8" t="n">
        <v>4964760</v>
      </c>
      <c r="I29" s="15" t="n">
        <v>-270</v>
      </c>
      <c r="J29" s="15" t="n"/>
      <c r="K29" s="10">
        <f>SUM(H29:J29)</f>
        <v/>
      </c>
      <c r="L29" s="16" t="n"/>
    </row>
    <row r="30">
      <c r="B30" s="86" t="n"/>
      <c r="C30" s="22" t="inlineStr">
        <is>
          <t>즉시할인</t>
        </is>
      </c>
      <c r="D30" s="5" t="n">
        <v>2016097</v>
      </c>
      <c r="E30" s="6" t="inlineStr">
        <is>
          <t>2025.12.02</t>
        </is>
      </c>
      <c r="F30" s="6" t="inlineStr">
        <is>
          <t>2025.12.07</t>
        </is>
      </c>
      <c r="G30" s="7" t="n">
        <v>10000000</v>
      </c>
      <c r="H30" s="8" t="n">
        <v>9933540</v>
      </c>
      <c r="I30" s="15" t="n">
        <v>-1250</v>
      </c>
      <c r="J30" s="15" t="n"/>
      <c r="K30" s="10">
        <f>SUM(H30:J30)</f>
        <v/>
      </c>
      <c r="L30" s="16" t="inlineStr">
        <is>
          <t>추가,변경</t>
        </is>
      </c>
    </row>
    <row r="31">
      <c r="B31" s="86" t="n"/>
      <c r="C31" s="22" t="inlineStr">
        <is>
          <t>즉시할인</t>
        </is>
      </c>
      <c r="D31" s="5" t="n">
        <v>2025918</v>
      </c>
      <c r="E31" s="6" t="inlineStr">
        <is>
          <t>2025.12.08</t>
        </is>
      </c>
      <c r="F31" s="6" t="inlineStr">
        <is>
          <t>2025.12.14</t>
        </is>
      </c>
      <c r="G31" s="7" t="n">
        <v>15000000</v>
      </c>
      <c r="H31" s="9" t="n">
        <v>6969990</v>
      </c>
      <c r="I31" s="15" t="n">
        <v>-5290</v>
      </c>
      <c r="J31" s="15" t="n"/>
      <c r="K31" s="10">
        <f>SUM(H31:J31)</f>
        <v/>
      </c>
      <c r="L31" s="16" t="n"/>
    </row>
    <row r="32">
      <c r="B32" s="86" t="n"/>
      <c r="C32" s="22" t="inlineStr">
        <is>
          <t>즉시할인</t>
        </is>
      </c>
      <c r="D32" s="5" t="n">
        <v>2029701</v>
      </c>
      <c r="E32" s="6" t="inlineStr">
        <is>
          <t>2025.12.10</t>
        </is>
      </c>
      <c r="F32" s="6" t="inlineStr">
        <is>
          <t>2025.12.14</t>
        </is>
      </c>
      <c r="G32" s="7" t="n">
        <v>5000000</v>
      </c>
      <c r="H32" s="9" t="n">
        <v>1307000</v>
      </c>
      <c r="I32" s="15" t="n">
        <v>-20000</v>
      </c>
      <c r="J32" s="15" t="n"/>
      <c r="K32" s="10">
        <f>SUM(H32:J32)</f>
        <v/>
      </c>
      <c r="L32" s="16" t="inlineStr">
        <is>
          <t>추가,변경</t>
        </is>
      </c>
    </row>
    <row r="33">
      <c r="B33" s="86" t="n"/>
      <c r="C33" s="22" t="inlineStr">
        <is>
          <t>12월14일 타임세일 불가마</t>
        </is>
      </c>
      <c r="D33" s="5" t="n">
        <v>2029762</v>
      </c>
      <c r="E33" s="6" t="inlineStr">
        <is>
          <t>2025.12.14</t>
        </is>
      </c>
      <c r="F33" s="6" t="inlineStr">
        <is>
          <t>2025.12.14</t>
        </is>
      </c>
      <c r="G33" s="7" t="n">
        <v>1000000</v>
      </c>
      <c r="H33" s="9" t="n">
        <v>873600</v>
      </c>
      <c r="I33" s="15" t="n">
        <v>-10400</v>
      </c>
      <c r="J33" s="15" t="n"/>
      <c r="K33" s="10">
        <f>SUM(H33:J33)</f>
        <v/>
      </c>
      <c r="L33" s="16" t="n"/>
    </row>
    <row r="34">
      <c r="B34" s="86" t="n"/>
      <c r="C34" s="22" t="inlineStr">
        <is>
          <t>즉시할인</t>
        </is>
      </c>
      <c r="D34" s="5" t="n">
        <v>2032759</v>
      </c>
      <c r="E34" s="6" t="inlineStr">
        <is>
          <t>2025.12.11</t>
        </is>
      </c>
      <c r="F34" s="6" t="inlineStr">
        <is>
          <t>2025.12.14</t>
        </is>
      </c>
      <c r="G34" s="7" t="n">
        <v>5000000</v>
      </c>
      <c r="H34" s="9" t="n">
        <v>2658750</v>
      </c>
      <c r="I34" s="15" t="n"/>
      <c r="J34" s="15" t="n"/>
      <c r="K34" s="10">
        <f>SUM(H34:J34)</f>
        <v/>
      </c>
      <c r="L34" s="16" t="n"/>
    </row>
    <row r="35">
      <c r="B35" s="86" t="n"/>
      <c r="C35" s="22" t="inlineStr">
        <is>
          <t>즉시할인</t>
        </is>
      </c>
      <c r="D35" s="5" t="n">
        <v>2036920</v>
      </c>
      <c r="E35" s="6" t="inlineStr">
        <is>
          <t>2025.12.15</t>
        </is>
      </c>
      <c r="F35" s="6" t="inlineStr">
        <is>
          <t>2025.12.21</t>
        </is>
      </c>
      <c r="G35" s="7" t="n">
        <v>20000000</v>
      </c>
      <c r="H35" s="24" t="n">
        <v>6553950</v>
      </c>
      <c r="I35" s="15" t="n">
        <v>-15850</v>
      </c>
      <c r="J35" s="15" t="n"/>
      <c r="K35" s="10">
        <f>SUM(H35:J35)</f>
        <v/>
      </c>
      <c r="L35" s="16" t="n"/>
    </row>
    <row r="36">
      <c r="B36" s="86" t="n"/>
      <c r="C36" s="22" t="inlineStr">
        <is>
          <t>즉시할인</t>
        </is>
      </c>
      <c r="D36" s="5" t="n">
        <v>2039545</v>
      </c>
      <c r="E36" s="6" t="inlineStr">
        <is>
          <t>2025.12.16</t>
        </is>
      </c>
      <c r="F36" s="6" t="inlineStr">
        <is>
          <t>2025.12.21</t>
        </is>
      </c>
      <c r="G36" s="7" t="n">
        <v>10000000</v>
      </c>
      <c r="H36" s="8" t="n">
        <v>9545800</v>
      </c>
      <c r="I36" s="15" t="n">
        <v>-9000</v>
      </c>
      <c r="J36" s="15" t="n"/>
      <c r="K36" s="10">
        <f>SUM(H36:J36)</f>
        <v/>
      </c>
      <c r="L36" s="16" t="inlineStr">
        <is>
          <t>추가,변경</t>
        </is>
      </c>
    </row>
    <row r="37">
      <c r="B37" s="86" t="n"/>
      <c r="C37" s="22" t="inlineStr">
        <is>
          <t>와우페스티벌(하반기)</t>
        </is>
      </c>
      <c r="D37" s="5" t="n">
        <v>2045371</v>
      </c>
      <c r="E37" s="6" t="inlineStr">
        <is>
          <t>2025.12.22</t>
        </is>
      </c>
      <c r="F37" s="6" t="inlineStr">
        <is>
          <t>2025.12.29</t>
        </is>
      </c>
      <c r="G37" s="7" t="n">
        <v>3000000</v>
      </c>
      <c r="H37" s="15" t="n">
        <v>374480</v>
      </c>
      <c r="I37" s="15" t="n">
        <v>-3500</v>
      </c>
      <c r="J37" s="15" t="n"/>
      <c r="K37" s="10">
        <f>SUM(H37:J37)</f>
        <v/>
      </c>
      <c r="L37" s="16" t="n"/>
    </row>
    <row r="38">
      <c r="B38" s="86" t="n"/>
      <c r="C38" s="22" t="inlineStr">
        <is>
          <t>즉시할인</t>
        </is>
      </c>
      <c r="D38" s="5" t="n">
        <v>2049507</v>
      </c>
      <c r="E38" s="6" t="inlineStr">
        <is>
          <t>2025.12.22</t>
        </is>
      </c>
      <c r="F38" s="6" t="inlineStr">
        <is>
          <t>2025.12.28</t>
        </is>
      </c>
      <c r="G38" s="7" t="n">
        <v>20000000</v>
      </c>
      <c r="H38" s="8" t="n">
        <v>19852100</v>
      </c>
      <c r="I38" s="15" t="n">
        <v>-51250</v>
      </c>
      <c r="J38" s="15" t="n"/>
      <c r="K38" s="10">
        <f>SUM(H38:J38)</f>
        <v/>
      </c>
      <c r="L38" s="16" t="n"/>
    </row>
    <row r="39">
      <c r="B39" s="86" t="n"/>
      <c r="C39" s="22" t="inlineStr">
        <is>
          <t>즉시할인</t>
        </is>
      </c>
      <c r="D39" s="5" t="n">
        <v>2060182</v>
      </c>
      <c r="E39" s="6" t="inlineStr">
        <is>
          <t>2025.12.24</t>
        </is>
      </c>
      <c r="F39" s="6" t="inlineStr">
        <is>
          <t>2025.12.28</t>
        </is>
      </c>
      <c r="G39" s="7" t="n">
        <v>5000000</v>
      </c>
      <c r="H39" s="15" t="n">
        <v>908730</v>
      </c>
      <c r="I39" s="15" t="n"/>
      <c r="J39" s="15" t="n"/>
      <c r="K39" s="10">
        <f>SUM(H39:J39)</f>
        <v/>
      </c>
      <c r="L39" s="16" t="inlineStr">
        <is>
          <t>추가(손난로80g)</t>
        </is>
      </c>
    </row>
    <row r="40" ht="18" customHeight="1" thickBot="1">
      <c r="B40" s="86" t="n"/>
      <c r="C40" s="22" t="inlineStr">
        <is>
          <t>즉시할인</t>
        </is>
      </c>
      <c r="D40" s="5" t="n">
        <v>2067615</v>
      </c>
      <c r="E40" s="6" t="inlineStr">
        <is>
          <t>2025.12.29</t>
        </is>
      </c>
      <c r="F40" s="6" t="inlineStr">
        <is>
          <t>2026.1.02</t>
        </is>
      </c>
      <c r="G40" s="7" t="n">
        <v>20000000</v>
      </c>
      <c r="H40" s="9" t="n">
        <v>7944940</v>
      </c>
      <c r="I40" s="9" t="n">
        <v>2636910</v>
      </c>
      <c r="J40" s="15" t="n">
        <v>-2500</v>
      </c>
      <c r="K40" s="10">
        <f>SUM(H40:J40)</f>
        <v/>
      </c>
      <c r="L40" s="16" t="n"/>
    </row>
    <row r="41" ht="18" customHeight="1" thickBot="1">
      <c r="B41" s="44" t="n"/>
      <c r="C41" s="78" t="n"/>
      <c r="D41" s="78" t="n"/>
      <c r="E41" s="78" t="n"/>
      <c r="F41" s="78" t="n"/>
      <c r="G41" s="19" t="n"/>
      <c r="H41" s="19" t="n"/>
      <c r="I41" s="19" t="n"/>
      <c r="J41" s="20" t="n"/>
      <c r="K41" s="21">
        <f>SUM(K29:K40)</f>
        <v/>
      </c>
      <c r="L41" s="16" t="n"/>
    </row>
    <row r="42">
      <c r="B42" s="88" t="inlineStr">
        <is>
          <t>1월</t>
        </is>
      </c>
      <c r="C42" s="22" t="inlineStr">
        <is>
          <t>즉시할인</t>
        </is>
      </c>
      <c r="D42" s="5" t="n">
        <v>2077401</v>
      </c>
      <c r="E42" s="6" t="inlineStr">
        <is>
          <t>2026.1.1</t>
        </is>
      </c>
      <c r="F42" s="6" t="inlineStr">
        <is>
          <t>2026.1.8</t>
        </is>
      </c>
      <c r="G42" s="7" t="n">
        <v>40000000</v>
      </c>
      <c r="H42" s="8" t="n">
        <v>39755780</v>
      </c>
      <c r="I42" s="15" t="n">
        <v>-9320</v>
      </c>
      <c r="J42" s="15" t="n"/>
      <c r="K42" s="10">
        <f>SUM(H42:J42)</f>
        <v/>
      </c>
      <c r="L42" s="16" t="inlineStr">
        <is>
          <t>전체즉시할인</t>
        </is>
      </c>
      <c r="M42" s="53" t="inlineStr">
        <is>
          <t>박상병,군인핫팩,박일병 추가 할인 시작</t>
        </is>
      </c>
    </row>
    <row r="43">
      <c r="B43" s="86" t="n"/>
      <c r="C43" s="22" t="inlineStr">
        <is>
          <t>즉시할인</t>
        </is>
      </c>
      <c r="D43" s="5" t="n">
        <v>2082112</v>
      </c>
      <c r="E43" s="6" t="inlineStr">
        <is>
          <t>2026.1.6</t>
        </is>
      </c>
      <c r="F43" s="6" t="inlineStr">
        <is>
          <t>2026.1.13</t>
        </is>
      </c>
      <c r="G43" s="7" t="n">
        <v>20000000</v>
      </c>
      <c r="H43" s="8" t="n">
        <v>19851100</v>
      </c>
      <c r="I43" s="15" t="n">
        <v>-10000</v>
      </c>
      <c r="J43" s="15" t="n"/>
      <c r="K43" s="10">
        <f>SUM(H43:J43)</f>
        <v/>
      </c>
      <c r="L43" s="16" t="inlineStr">
        <is>
          <t>전체즉시할인</t>
        </is>
      </c>
      <c r="M43" s="53" t="inlineStr">
        <is>
          <t>박일병,손난로,군인제외 골드100매 축소</t>
        </is>
      </c>
    </row>
    <row r="44">
      <c r="B44" s="86" t="n"/>
      <c r="C44" s="71" t="inlineStr">
        <is>
          <t>한파/폭설 시즌 프로모션</t>
        </is>
      </c>
      <c r="D44" s="5" t="n">
        <v>2085789</v>
      </c>
      <c r="E44" s="6" t="inlineStr">
        <is>
          <t>2026.1.12</t>
        </is>
      </c>
      <c r="F44" s="6" t="inlineStr">
        <is>
          <t>2026.1.26</t>
        </is>
      </c>
      <c r="G44" s="7" t="n">
        <v>5000000</v>
      </c>
      <c r="H44" s="9" t="n">
        <v>4949710</v>
      </c>
      <c r="I44" s="15" t="n">
        <v>-17450</v>
      </c>
      <c r="J44" s="15" t="n"/>
      <c r="K44" s="10">
        <f>SUM(H44:J44)</f>
        <v/>
      </c>
      <c r="L44" s="16" t="inlineStr">
        <is>
          <t>붙이는불가마</t>
        </is>
      </c>
    </row>
    <row r="45">
      <c r="B45" s="86" t="n"/>
      <c r="C45" s="22" t="inlineStr">
        <is>
          <t>즉시할인</t>
        </is>
      </c>
      <c r="D45" s="5" t="n">
        <v>2090386</v>
      </c>
      <c r="E45" s="6" t="inlineStr">
        <is>
          <t>2026.1.12</t>
        </is>
      </c>
      <c r="F45" s="6" t="inlineStr">
        <is>
          <t>2026.1.19</t>
        </is>
      </c>
      <c r="G45" s="7" t="n">
        <v>30000000</v>
      </c>
      <c r="H45" s="9" t="n">
        <v>23465750</v>
      </c>
      <c r="I45" s="15" t="n">
        <v>-33750</v>
      </c>
      <c r="J45" s="15" t="n"/>
      <c r="K45" s="10">
        <f>SUM(H45:J45)</f>
        <v/>
      </c>
      <c r="L45" s="16" t="inlineStr">
        <is>
          <t>전체즉시할인</t>
        </is>
      </c>
    </row>
    <row r="46">
      <c r="B46" s="86" t="n"/>
      <c r="C46" s="22" t="inlineStr">
        <is>
          <t>즉시할인</t>
        </is>
      </c>
      <c r="D46" s="5" t="n">
        <v>2096084</v>
      </c>
      <c r="E46" s="6" t="inlineStr">
        <is>
          <t>2026.1.15</t>
        </is>
      </c>
      <c r="F46" s="6" t="inlineStr">
        <is>
          <t>2026.1.24</t>
        </is>
      </c>
      <c r="G46" s="7" t="n">
        <v>2500000</v>
      </c>
      <c r="H46" s="9" t="n">
        <v>1130400</v>
      </c>
      <c r="I46" s="15" t="n"/>
      <c r="J46" s="15" t="n"/>
      <c r="K46" s="10">
        <f>SUM(H46:J46)</f>
        <v/>
      </c>
      <c r="L46" s="16" t="inlineStr">
        <is>
          <t>100매 추가할인</t>
        </is>
      </c>
    </row>
    <row r="47">
      <c r="B47" s="86" t="n"/>
      <c r="C47" s="22" t="inlineStr">
        <is>
          <t>즉시할인</t>
        </is>
      </c>
      <c r="D47" s="5" t="n">
        <v>2099043</v>
      </c>
      <c r="E47" s="6" t="inlineStr">
        <is>
          <t>2026.1.19</t>
        </is>
      </c>
      <c r="F47" s="6" t="inlineStr">
        <is>
          <t>2026.1.26</t>
        </is>
      </c>
      <c r="G47" s="7" t="n">
        <v>30000000</v>
      </c>
      <c r="H47" s="8" t="n">
        <v>29712980</v>
      </c>
      <c r="I47" s="15" t="n">
        <v>-22300</v>
      </c>
      <c r="J47" s="15" t="n"/>
      <c r="K47" s="10">
        <f>SUM(H47:J47)</f>
        <v/>
      </c>
      <c r="L47" s="16" t="inlineStr">
        <is>
          <t>전체즉시할인</t>
        </is>
      </c>
    </row>
    <row r="48">
      <c r="B48" s="86" t="n"/>
      <c r="C48" s="71" t="inlineStr">
        <is>
          <t>즉시할인</t>
        </is>
      </c>
      <c r="D48" s="5" t="n">
        <v>2105782</v>
      </c>
      <c r="E48" s="6" t="inlineStr">
        <is>
          <t>2026.1.25</t>
        </is>
      </c>
      <c r="F48" s="6" t="inlineStr">
        <is>
          <t>2026.2.1</t>
        </is>
      </c>
      <c r="G48" s="7" t="n">
        <v>20000000</v>
      </c>
      <c r="H48" s="15" t="n"/>
      <c r="I48" s="15" t="n"/>
      <c r="J48" s="15" t="n"/>
      <c r="K48" s="10">
        <f>SUM(H48:J48)</f>
        <v/>
      </c>
      <c r="L48" s="16" t="inlineStr">
        <is>
          <t>해지</t>
        </is>
      </c>
    </row>
    <row r="49">
      <c r="B49" s="86" t="n"/>
      <c r="C49" s="71" t="inlineStr">
        <is>
          <t>즉시할인</t>
        </is>
      </c>
      <c r="D49" s="5" t="n">
        <v>2109803</v>
      </c>
      <c r="E49" s="6" t="inlineStr">
        <is>
          <t>2026.1.24</t>
        </is>
      </c>
      <c r="F49" s="6" t="inlineStr">
        <is>
          <t>2026.1.30</t>
        </is>
      </c>
      <c r="G49" s="7" t="n">
        <v>30000000</v>
      </c>
      <c r="H49" s="15" t="n">
        <v>854800</v>
      </c>
      <c r="I49" s="15" t="n">
        <v>-4900</v>
      </c>
      <c r="J49" s="15" t="n"/>
      <c r="K49" s="10">
        <f>SUM(H49:J49)</f>
        <v/>
      </c>
      <c r="L49" s="16" t="inlineStr">
        <is>
          <t>주말 10매</t>
        </is>
      </c>
      <c r="M49" t="inlineStr">
        <is>
          <t>전팀장님</t>
        </is>
      </c>
    </row>
    <row r="50">
      <c r="B50" s="86" t="n"/>
      <c r="C50" s="22" t="inlineStr">
        <is>
          <t>즉시할인</t>
        </is>
      </c>
      <c r="D50" s="5" t="n">
        <v>2109810</v>
      </c>
      <c r="E50" s="6" t="inlineStr">
        <is>
          <t>2026.1.26</t>
        </is>
      </c>
      <c r="F50" s="6" t="inlineStr">
        <is>
          <t>2026.2.1</t>
        </is>
      </c>
      <c r="G50" s="7" t="n">
        <v>30000000</v>
      </c>
      <c r="H50" s="9" t="n">
        <v>5134200</v>
      </c>
      <c r="I50" s="15" t="n">
        <v>-20850</v>
      </c>
      <c r="J50" s="15" t="n"/>
      <c r="K50" s="10">
        <f>SUM(H50:J50)</f>
        <v/>
      </c>
      <c r="L50" s="16" t="n"/>
      <c r="M50" t="inlineStr">
        <is>
          <t>전팀장님</t>
        </is>
      </c>
    </row>
    <row r="51">
      <c r="B51" s="86" t="n"/>
      <c r="C51" s="22" t="inlineStr">
        <is>
          <t>즉시할인</t>
        </is>
      </c>
      <c r="D51" s="36" t="n">
        <v>2112449</v>
      </c>
      <c r="E51" s="37" t="inlineStr">
        <is>
          <t>2026.1.27</t>
        </is>
      </c>
      <c r="F51" s="37" t="inlineStr">
        <is>
          <t>2026.2.3</t>
        </is>
      </c>
      <c r="G51" s="38" t="n">
        <v>30000000</v>
      </c>
      <c r="H51" s="8" t="n">
        <v>22462320</v>
      </c>
      <c r="I51" s="8" t="n">
        <v>6782440</v>
      </c>
      <c r="J51" s="15" t="n"/>
      <c r="K51" s="10">
        <f>SUM(H51:J51)</f>
        <v/>
      </c>
      <c r="L51" s="16" t="inlineStr">
        <is>
          <t>골드,박상병 추가</t>
        </is>
      </c>
    </row>
    <row r="52" ht="18" customHeight="1" thickBot="1">
      <c r="B52" s="84" t="n"/>
      <c r="C52" s="25" t="n"/>
      <c r="D52" s="26" t="n"/>
      <c r="E52" s="27" t="n"/>
      <c r="F52" s="27" t="n"/>
      <c r="G52" s="28" t="n"/>
      <c r="H52" s="29" t="n"/>
      <c r="I52" s="29" t="n"/>
      <c r="J52" s="29" t="n"/>
      <c r="K52" s="30">
        <f>SUM(H52:J52)</f>
        <v/>
      </c>
      <c r="L52" s="14" t="n"/>
    </row>
    <row r="53" ht="18" customHeight="1" thickBot="1">
      <c r="B53" s="44" t="n"/>
      <c r="C53" s="78" t="n"/>
      <c r="D53" s="78" t="n"/>
      <c r="E53" s="78" t="n"/>
      <c r="F53" s="78" t="n"/>
      <c r="G53" s="31" t="n"/>
      <c r="H53" s="31" t="n"/>
      <c r="I53" s="31" t="n"/>
      <c r="J53" s="32" t="n"/>
      <c r="K53" s="33">
        <f>SUM(K42:K52)</f>
        <v/>
      </c>
      <c r="L53" s="34" t="n"/>
    </row>
    <row r="54">
      <c r="B54" s="50" t="inlineStr">
        <is>
          <t>2월</t>
        </is>
      </c>
      <c r="C54" s="72" t="inlineStr">
        <is>
          <t>즉시할인</t>
        </is>
      </c>
      <c r="D54" s="36" t="n">
        <v>2122120</v>
      </c>
      <c r="E54" s="37" t="inlineStr">
        <is>
          <t>2026.2.2</t>
        </is>
      </c>
      <c r="F54" s="37" t="inlineStr">
        <is>
          <t>2026.2.9</t>
        </is>
      </c>
      <c r="G54" s="38" t="n">
        <v>10000000</v>
      </c>
      <c r="H54" s="9" t="n">
        <v>167500</v>
      </c>
      <c r="I54" s="15" t="n"/>
      <c r="J54" s="15" t="n"/>
      <c r="K54" s="10">
        <f>SUM(H54:J54)</f>
        <v/>
      </c>
      <c r="L54" s="16" t="n"/>
      <c r="M54" s="53" t="n"/>
    </row>
    <row r="55">
      <c r="B55" s="86" t="n"/>
      <c r="C55" s="35" t="n"/>
      <c r="D55" s="36" t="n"/>
      <c r="E55" s="37" t="n"/>
      <c r="F55" s="37" t="n"/>
      <c r="G55" s="38" t="n"/>
      <c r="H55" s="9" t="n"/>
      <c r="I55" s="15" t="n"/>
      <c r="J55" s="15" t="n"/>
      <c r="K55" s="10">
        <f>SUM(H55:J55)</f>
        <v/>
      </c>
      <c r="L55" s="16" t="n"/>
      <c r="M55" s="53" t="n"/>
    </row>
    <row r="56">
      <c r="B56" s="86" t="n"/>
      <c r="C56" s="35" t="n"/>
      <c r="D56" s="36" t="n"/>
      <c r="E56" s="37" t="n"/>
      <c r="F56" s="37" t="n"/>
      <c r="G56" s="38" t="n"/>
      <c r="H56" s="9" t="n"/>
      <c r="I56" s="15" t="n"/>
      <c r="J56" s="15" t="n"/>
      <c r="K56" s="10">
        <f>SUM(H56:J56)</f>
        <v/>
      </c>
      <c r="L56" s="16" t="n"/>
    </row>
    <row r="57">
      <c r="B57" s="86" t="n"/>
      <c r="C57" s="35" t="n"/>
      <c r="D57" s="36" t="n"/>
      <c r="E57" s="37" t="n"/>
      <c r="F57" s="37" t="n"/>
      <c r="G57" s="38" t="n"/>
      <c r="H57" s="9" t="n"/>
      <c r="I57" s="15" t="n"/>
      <c r="J57" s="15" t="n"/>
      <c r="K57" s="10">
        <f>SUM(H57:J57)</f>
        <v/>
      </c>
      <c r="L57" s="16" t="n"/>
    </row>
    <row r="58" ht="18" customHeight="1" thickBot="1">
      <c r="B58" s="86" t="n"/>
      <c r="C58" s="35" t="n"/>
      <c r="D58" s="36" t="n"/>
      <c r="E58" s="37" t="n"/>
      <c r="F58" s="37" t="n"/>
      <c r="G58" s="38" t="n"/>
      <c r="H58" s="9" t="n"/>
      <c r="I58" s="15" t="n"/>
      <c r="J58" s="15" t="n"/>
      <c r="K58" s="10">
        <f>SUM(H58:J58)</f>
        <v/>
      </c>
      <c r="L58" s="16" t="n"/>
    </row>
    <row r="59" ht="18" customHeight="1" thickBot="1">
      <c r="B59" s="44" t="n"/>
      <c r="C59" s="78" t="n"/>
      <c r="D59" s="78" t="n"/>
      <c r="E59" s="78" t="n"/>
      <c r="F59" s="78" t="n"/>
      <c r="G59" s="31" t="n"/>
      <c r="H59" s="31" t="n"/>
      <c r="I59" s="31" t="n"/>
      <c r="J59" s="32" t="n"/>
      <c r="K59" s="33">
        <f>SUM(K54:K58)</f>
        <v/>
      </c>
      <c r="L59" s="34" t="n"/>
    </row>
    <row r="60" ht="18" customHeight="1" thickBot="1">
      <c r="B60" s="44" t="n"/>
      <c r="C60" s="78" t="n"/>
      <c r="D60" s="78" t="n"/>
      <c r="E60" s="78" t="n"/>
      <c r="F60" s="78" t="n"/>
      <c r="G60" s="31" t="n"/>
      <c r="H60" s="31" t="n"/>
      <c r="I60" s="47" t="inlineStr">
        <is>
          <t>합 계 (광고제외)</t>
        </is>
      </c>
      <c r="J60" s="89" t="n"/>
      <c r="K60" s="39">
        <f>K11+K20+K28+K41+K53+K59</f>
        <v/>
      </c>
      <c r="L60" s="40" t="n"/>
    </row>
    <row r="61" ht="18" customHeight="1" thickBot="1">
      <c r="B61" s="41" t="n"/>
      <c r="C61" s="42" t="n"/>
      <c r="D61" s="42" t="n"/>
      <c r="E61" s="42" t="n"/>
      <c r="F61" s="42" t="n"/>
      <c r="G61" s="42" t="n"/>
      <c r="H61" s="42" t="n"/>
      <c r="I61" s="90" t="inlineStr">
        <is>
          <t xml:space="preserve">합 계 </t>
        </is>
      </c>
      <c r="J61" s="89" t="n"/>
      <c r="K61" s="39">
        <f>K11+K17+K20+K28+K41+K53+K59</f>
        <v/>
      </c>
      <c r="L61" s="43" t="n"/>
    </row>
    <row r="63">
      <c r="E63" s="6" t="n"/>
      <c r="F63" s="6" t="n"/>
    </row>
  </sheetData>
  <mergeCells count="23">
    <mergeCell ref="B42:B52"/>
    <mergeCell ref="B18:B19"/>
    <mergeCell ref="B59:F59"/>
    <mergeCell ref="L12:L15"/>
    <mergeCell ref="B3:B10"/>
    <mergeCell ref="H2:J2"/>
    <mergeCell ref="I61:J61"/>
    <mergeCell ref="B11:F11"/>
    <mergeCell ref="M43:P43"/>
    <mergeCell ref="B60:F60"/>
    <mergeCell ref="B54:B58"/>
    <mergeCell ref="M55:P55"/>
    <mergeCell ref="B17:F17"/>
    <mergeCell ref="B53:F53"/>
    <mergeCell ref="B28:F28"/>
    <mergeCell ref="M42:P42"/>
    <mergeCell ref="B12:B16"/>
    <mergeCell ref="M54:P54"/>
    <mergeCell ref="B21:B27"/>
    <mergeCell ref="B29:B40"/>
    <mergeCell ref="B20:F20"/>
    <mergeCell ref="I60:J60"/>
    <mergeCell ref="B41:F41"/>
  </mergeCells>
  <pageMargins left="0.03937007874015748" right="0.03937007874015748" top="0.5511811023622047" bottom="0.5511811023622047" header="0.3149606299212598" footer="0.3149606299212598"/>
  <pageSetup orientation="portrait" paperSize="9" scale="6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7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1.5" customWidth="1" min="3" max="3"/>
    <col width="11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7" customWidth="1" min="12" max="12"/>
  </cols>
  <sheetData>
    <row r="1" ht="15" customHeight="1"/>
    <row r="2" ht="28" customHeight="1">
      <c r="B2" s="91" t="inlineStr">
        <is>
          <t>기간별</t>
        </is>
      </c>
      <c r="C2" s="91" t="inlineStr">
        <is>
          <t>종류</t>
        </is>
      </c>
      <c r="D2" s="91" t="inlineStr">
        <is>
          <t>계약서NO</t>
        </is>
      </c>
      <c r="E2" s="91" t="inlineStr">
        <is>
          <t>계약기간시작</t>
        </is>
      </c>
      <c r="F2" s="91" t="inlineStr">
        <is>
          <t>계약기간종료</t>
        </is>
      </c>
      <c r="G2" s="91" t="inlineStr">
        <is>
          <t>계약서 예산</t>
        </is>
      </c>
      <c r="H2" s="91" t="inlineStr">
        <is>
          <t>부담 금액</t>
        </is>
      </c>
      <c r="K2" s="91" t="inlineStr">
        <is>
          <t>소계</t>
        </is>
      </c>
      <c r="L2" s="91" t="inlineStr">
        <is>
          <t>비고</t>
        </is>
      </c>
    </row>
    <row r="3" ht="20" customHeight="1">
      <c r="B3" s="92" t="inlineStr">
        <is>
          <t>광고</t>
        </is>
      </c>
      <c r="C3" s="93" t="inlineStr">
        <is>
          <t>[표준] 광고 게재 신청서</t>
        </is>
      </c>
      <c r="D3" s="92" t="n">
        <v>1427347</v>
      </c>
      <c r="E3" s="92" t="inlineStr">
        <is>
          <t>2024.10.15</t>
        </is>
      </c>
      <c r="F3" s="92" t="inlineStr">
        <is>
          <t>2024.10.29</t>
        </is>
      </c>
      <c r="G3" s="94" t="n">
        <v>20000000</v>
      </c>
      <c r="H3" s="94" t="n">
        <v>20000000</v>
      </c>
      <c r="K3" s="94">
        <f>SUM(H3:J3)</f>
        <v/>
      </c>
    </row>
    <row r="4" ht="20" customHeight="1">
      <c r="B4" s="92" t="n"/>
      <c r="C4" s="93" t="inlineStr">
        <is>
          <t>[표준] 광고 게재 신청서</t>
        </is>
      </c>
      <c r="D4" s="92" t="n">
        <v>1457091</v>
      </c>
      <c r="E4" s="92" t="inlineStr">
        <is>
          <t>2024.11.05</t>
        </is>
      </c>
      <c r="F4" s="92" t="inlineStr">
        <is>
          <t>2024.12.03</t>
        </is>
      </c>
      <c r="G4" s="94" t="n">
        <v>40000000</v>
      </c>
      <c r="H4" s="94" t="n">
        <v>40000000</v>
      </c>
      <c r="K4" s="94">
        <f>SUM(H4:J4)</f>
        <v/>
      </c>
    </row>
    <row r="5" ht="20" customHeight="1">
      <c r="B5" s="92" t="n"/>
      <c r="C5" s="93" t="inlineStr">
        <is>
          <t>[표준] 광고 게재 신청서</t>
        </is>
      </c>
      <c r="D5" s="92" t="n">
        <v>1473437</v>
      </c>
      <c r="E5" s="92" t="inlineStr">
        <is>
          <t>2024.11.21</t>
        </is>
      </c>
      <c r="F5" s="92" t="inlineStr">
        <is>
          <t>2024.11.22</t>
        </is>
      </c>
      <c r="G5" s="94" t="n">
        <v>11000000</v>
      </c>
      <c r="H5" s="94" t="n">
        <v>11000000</v>
      </c>
      <c r="K5" s="94">
        <f>SUM(H5:J5)</f>
        <v/>
      </c>
    </row>
    <row r="6" ht="20" customHeight="1">
      <c r="B6" s="92" t="n"/>
      <c r="C6" s="93" t="inlineStr">
        <is>
          <t>[표준] 광고 게재 신청서</t>
        </is>
      </c>
      <c r="D6" s="92" t="n">
        <v>1474710</v>
      </c>
      <c r="E6" s="92" t="inlineStr">
        <is>
          <t>2024.11.22</t>
        </is>
      </c>
      <c r="F6" s="92" t="inlineStr">
        <is>
          <t>2024.11.23</t>
        </is>
      </c>
      <c r="G6" s="94" t="n">
        <v>3500000</v>
      </c>
      <c r="H6" s="94" t="n">
        <v>3500000</v>
      </c>
      <c r="K6" s="94">
        <f>SUM(H6:J6)</f>
        <v/>
      </c>
    </row>
    <row r="7" ht="20" customHeight="1">
      <c r="B7" s="92" t="n"/>
      <c r="C7" s="93" t="inlineStr">
        <is>
          <t>[표준] 광고 게재 신청서</t>
        </is>
      </c>
      <c r="D7" s="92" t="n">
        <v>1489892</v>
      </c>
      <c r="E7" s="92" t="inlineStr">
        <is>
          <t>2024.12.01</t>
        </is>
      </c>
      <c r="F7" s="92" t="inlineStr">
        <is>
          <t>2024.12.06</t>
        </is>
      </c>
      <c r="G7" s="94" t="n">
        <v>15000000</v>
      </c>
      <c r="H7" s="94" t="n">
        <v>15000000</v>
      </c>
      <c r="K7" s="94">
        <f>SUM(H7:J7)</f>
        <v/>
      </c>
    </row>
    <row r="8" ht="20" customHeight="1">
      <c r="B8" s="92" t="n"/>
      <c r="C8" s="93" t="inlineStr">
        <is>
          <t>[표준] 광고 게재 신청서</t>
        </is>
      </c>
      <c r="D8" s="92" t="n">
        <v>1491408</v>
      </c>
      <c r="E8" s="92" t="inlineStr">
        <is>
          <t>2024.12.03</t>
        </is>
      </c>
      <c r="F8" s="92" t="inlineStr">
        <is>
          <t>2024.12.31</t>
        </is>
      </c>
      <c r="G8" s="94" t="n">
        <v>80000000</v>
      </c>
      <c r="H8" s="94" t="n">
        <v>80000000</v>
      </c>
      <c r="K8" s="94">
        <f>SUM(H8:J8)</f>
        <v/>
      </c>
    </row>
    <row r="9" ht="20" customHeight="1">
      <c r="B9" s="92" t="n"/>
      <c r="C9" s="93" t="inlineStr">
        <is>
          <t>[표준] 광고 게재 신청서</t>
        </is>
      </c>
      <c r="D9" s="92" t="n">
        <v>1556551</v>
      </c>
      <c r="E9" s="92" t="inlineStr">
        <is>
          <t>2025.01.14</t>
        </is>
      </c>
      <c r="F9" s="92" t="inlineStr">
        <is>
          <t>2025.01.21</t>
        </is>
      </c>
      <c r="G9" s="94" t="n">
        <v>5000000</v>
      </c>
      <c r="H9" s="94" t="n">
        <v>5000000</v>
      </c>
      <c r="K9" s="94">
        <f>SUM(H9:J9)</f>
        <v/>
      </c>
    </row>
    <row r="10" ht="18" customHeight="1"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6">
        <f>SUM(K3:K9)</f>
        <v/>
      </c>
      <c r="L10" s="95" t="n"/>
    </row>
    <row r="11" ht="20" customHeight="1">
      <c r="B11" s="92" t="inlineStr">
        <is>
          <t>10월</t>
        </is>
      </c>
      <c r="C11" s="93" t="inlineStr">
        <is>
          <t>즉시할인</t>
        </is>
      </c>
      <c r="D11" s="92" t="n">
        <v>1424838</v>
      </c>
      <c r="E11" s="92" t="inlineStr">
        <is>
          <t>2024.10.10</t>
        </is>
      </c>
      <c r="F11" s="92" t="inlineStr">
        <is>
          <t>2024.10.11</t>
        </is>
      </c>
      <c r="G11" s="94" t="n">
        <v>5000000</v>
      </c>
      <c r="H11" s="94" t="n">
        <v>622800</v>
      </c>
      <c r="K11" s="94">
        <f>SUM(H11:J11)</f>
        <v/>
      </c>
    </row>
    <row r="12" ht="20" customHeight="1">
      <c r="B12" s="92" t="n"/>
      <c r="C12" s="93" t="inlineStr">
        <is>
          <t>즉시할인</t>
        </is>
      </c>
      <c r="D12" s="92" t="n">
        <v>1451885</v>
      </c>
      <c r="E12" s="92" t="inlineStr">
        <is>
          <t>2024.10.23</t>
        </is>
      </c>
      <c r="F12" s="92" t="inlineStr">
        <is>
          <t>2024.10.28</t>
        </is>
      </c>
      <c r="G12" s="94" t="n">
        <v>5000000</v>
      </c>
      <c r="H12" s="94" t="n">
        <v>492070</v>
      </c>
      <c r="K12" s="94">
        <f>SUM(H12:J12)</f>
        <v/>
      </c>
    </row>
    <row r="13" ht="20" customHeight="1">
      <c r="B13" s="92" t="n"/>
      <c r="C13" s="93" t="inlineStr">
        <is>
          <t>2024 Sweet Shop</t>
        </is>
      </c>
      <c r="D13" s="92" t="n">
        <v>1437280</v>
      </c>
      <c r="E13" s="92" t="inlineStr">
        <is>
          <t>2024.10.29</t>
        </is>
      </c>
      <c r="F13" s="92" t="inlineStr">
        <is>
          <t>2024.11.15</t>
        </is>
      </c>
      <c r="G13" s="94" t="n">
        <v>5000000</v>
      </c>
      <c r="H13" s="94" t="n">
        <v>4954500</v>
      </c>
      <c r="K13" s="94">
        <f>SUM(H13:J13)</f>
        <v/>
      </c>
    </row>
    <row r="14" ht="18" customHeight="1">
      <c r="B14" s="95" t="n"/>
      <c r="C14" s="95" t="n"/>
      <c r="D14" s="95" t="n"/>
      <c r="E14" s="95" t="n"/>
      <c r="F14" s="95" t="n"/>
      <c r="G14" s="95" t="n"/>
      <c r="H14" s="95" t="n"/>
      <c r="I14" s="95" t="n"/>
      <c r="J14" s="95" t="n"/>
      <c r="K14" s="96">
        <f>SUM(K11:K13)</f>
        <v/>
      </c>
      <c r="L14" s="95" t="n"/>
    </row>
    <row r="15" ht="20" customHeight="1">
      <c r="B15" s="92" t="inlineStr">
        <is>
          <t>11월</t>
        </is>
      </c>
      <c r="C15" s="93" t="inlineStr">
        <is>
          <t>즉시할인</t>
        </is>
      </c>
      <c r="D15" s="92" t="n">
        <v>1472672</v>
      </c>
      <c r="E15" s="92" t="inlineStr">
        <is>
          <t>2024.11.09</t>
        </is>
      </c>
      <c r="F15" s="92" t="inlineStr">
        <is>
          <t>2024.11.30</t>
        </is>
      </c>
      <c r="G15" s="94" t="n">
        <v>5000000</v>
      </c>
      <c r="H15" s="94" t="n">
        <v>4958300</v>
      </c>
      <c r="K15" s="94">
        <f>SUM(H15:J15)</f>
        <v/>
      </c>
    </row>
    <row r="16" ht="20" customHeight="1">
      <c r="B16" s="92" t="n"/>
      <c r="C16" s="93" t="inlineStr">
        <is>
          <t>즉시할인</t>
        </is>
      </c>
      <c r="D16" s="92" t="n">
        <v>1468548</v>
      </c>
      <c r="E16" s="92" t="inlineStr">
        <is>
          <t>2024.11.13</t>
        </is>
      </c>
      <c r="F16" s="92" t="inlineStr">
        <is>
          <t>2024.11.13</t>
        </is>
      </c>
      <c r="G16" s="94" t="n">
        <v>2000000</v>
      </c>
      <c r="H16" s="94" t="n">
        <v>178100</v>
      </c>
      <c r="K16" s="94">
        <f>SUM(H16:J16)</f>
        <v/>
      </c>
    </row>
    <row r="17" ht="20" customHeight="1">
      <c r="B17" s="92" t="n"/>
      <c r="C17" s="93" t="inlineStr">
        <is>
          <t>즉시할인</t>
        </is>
      </c>
      <c r="D17" s="92" t="n">
        <v>1474337</v>
      </c>
      <c r="E17" s="92" t="inlineStr">
        <is>
          <t>2024.11.18</t>
        </is>
      </c>
      <c r="F17" s="92" t="inlineStr">
        <is>
          <t>2024.11.19</t>
        </is>
      </c>
      <c r="G17" s="94" t="n">
        <v>5000000</v>
      </c>
      <c r="H17" s="94" t="n">
        <v>4851640</v>
      </c>
      <c r="K17" s="94">
        <f>SUM(H17:J17)</f>
        <v/>
      </c>
    </row>
    <row r="18" ht="20" customHeight="1">
      <c r="B18" s="92" t="n"/>
      <c r="C18" s="93" t="inlineStr">
        <is>
          <t>즉시할인쿠폰</t>
        </is>
      </c>
      <c r="D18" s="92" t="n">
        <v>1497485</v>
      </c>
      <c r="E18" s="92" t="inlineStr">
        <is>
          <t>2024.11.29</t>
        </is>
      </c>
      <c r="F18" s="92" t="inlineStr">
        <is>
          <t>2024.12.08</t>
        </is>
      </c>
      <c r="G18" s="94" t="n">
        <v>5000000</v>
      </c>
      <c r="H18" s="94" t="n">
        <v>41310</v>
      </c>
      <c r="K18" s="94">
        <f>SUM(H18:J18)</f>
        <v/>
      </c>
    </row>
    <row r="19" ht="20" customHeight="1">
      <c r="B19" s="92" t="n"/>
      <c r="C19" s="93" t="inlineStr">
        <is>
          <t>즉시할인</t>
        </is>
      </c>
      <c r="D19" s="92" t="n">
        <v>1498540</v>
      </c>
      <c r="E19" s="92" t="inlineStr">
        <is>
          <t>2024.11.30</t>
        </is>
      </c>
      <c r="F19" s="92" t="inlineStr">
        <is>
          <t>2024.12.01</t>
        </is>
      </c>
      <c r="G19" s="94" t="n">
        <v>3000000</v>
      </c>
      <c r="H19" s="94" t="n">
        <v>231250</v>
      </c>
      <c r="K19" s="94">
        <f>SUM(H19:J19)</f>
        <v/>
      </c>
    </row>
    <row r="20" ht="18" customHeight="1">
      <c r="B20" s="95" t="n"/>
      <c r="C20" s="95" t="n"/>
      <c r="D20" s="95" t="n"/>
      <c r="E20" s="95" t="n"/>
      <c r="F20" s="95" t="n"/>
      <c r="G20" s="95" t="n"/>
      <c r="H20" s="95" t="n"/>
      <c r="I20" s="95" t="n"/>
      <c r="J20" s="95" t="n"/>
      <c r="K20" s="96">
        <f>SUM(K15:K19)</f>
        <v/>
      </c>
      <c r="L20" s="95" t="n"/>
    </row>
    <row r="21" ht="20" customHeight="1">
      <c r="B21" s="92" t="inlineStr">
        <is>
          <t>12월</t>
        </is>
      </c>
      <c r="C21" s="93" t="inlineStr">
        <is>
          <t>즉시할인</t>
        </is>
      </c>
      <c r="D21" s="92" t="n">
        <v>1505510</v>
      </c>
      <c r="E21" s="92" t="inlineStr">
        <is>
          <t>2024.12.04</t>
        </is>
      </c>
      <c r="F21" s="92" t="inlineStr">
        <is>
          <t>2024.12.08</t>
        </is>
      </c>
      <c r="G21" s="94" t="n">
        <v>3000000</v>
      </c>
      <c r="H21" s="94" t="n">
        <v>1431090</v>
      </c>
      <c r="K21" s="94">
        <f>SUM(H21:J21)</f>
        <v/>
      </c>
    </row>
    <row r="22" ht="20" customHeight="1">
      <c r="B22" s="92" t="n"/>
      <c r="C22" s="93" t="inlineStr">
        <is>
          <t>즉시할인</t>
        </is>
      </c>
      <c r="D22" s="92" t="n">
        <v>1497427</v>
      </c>
      <c r="E22" s="92" t="inlineStr">
        <is>
          <t>2024.12.05</t>
        </is>
      </c>
      <c r="F22" s="92" t="inlineStr">
        <is>
          <t>2024.12.05</t>
        </is>
      </c>
      <c r="G22" s="94" t="n">
        <v>2000000</v>
      </c>
      <c r="H22" s="94" t="n">
        <v>271410</v>
      </c>
      <c r="K22" s="94">
        <f>SUM(H22:J22)</f>
        <v/>
      </c>
    </row>
    <row r="23" ht="20" customHeight="1">
      <c r="B23" s="92" t="n"/>
      <c r="C23" s="93" t="inlineStr">
        <is>
          <t>즉시할인</t>
        </is>
      </c>
      <c r="D23" s="92" t="n">
        <v>1507908</v>
      </c>
      <c r="E23" s="92" t="inlineStr">
        <is>
          <t>2024.12.06</t>
        </is>
      </c>
      <c r="F23" s="92" t="inlineStr">
        <is>
          <t>2024.12.08</t>
        </is>
      </c>
      <c r="G23" s="94" t="n">
        <v>5000000</v>
      </c>
      <c r="H23" s="94" t="n">
        <v>2377250</v>
      </c>
      <c r="K23" s="94">
        <f>SUM(H23:J23)</f>
        <v/>
      </c>
    </row>
    <row r="24" ht="20" customHeight="1">
      <c r="B24" s="92" t="n"/>
      <c r="C24" s="93" t="inlineStr">
        <is>
          <t>즉시할인</t>
        </is>
      </c>
      <c r="D24" s="92" t="n">
        <v>1508800</v>
      </c>
      <c r="E24" s="92" t="inlineStr">
        <is>
          <t>2024.12.06</t>
        </is>
      </c>
      <c r="F24" s="92" t="inlineStr">
        <is>
          <t>2024.12.08</t>
        </is>
      </c>
      <c r="G24" s="94" t="n">
        <v>5000000</v>
      </c>
      <c r="H24" s="94" t="n">
        <v>436370</v>
      </c>
      <c r="K24" s="94">
        <f>SUM(H24:J24)</f>
        <v/>
      </c>
    </row>
    <row r="25" ht="20" customHeight="1">
      <c r="B25" s="92" t="n"/>
      <c r="C25" s="93" t="inlineStr">
        <is>
          <t>즉시할인</t>
        </is>
      </c>
      <c r="D25" s="92" t="n">
        <v>1514542</v>
      </c>
      <c r="E25" s="92" t="inlineStr">
        <is>
          <t>2024.12.11</t>
        </is>
      </c>
      <c r="F25" s="92" t="inlineStr">
        <is>
          <t>2024.12.15</t>
        </is>
      </c>
      <c r="G25" s="94" t="n">
        <v>10000000</v>
      </c>
      <c r="H25" s="94" t="n">
        <v>4353470</v>
      </c>
      <c r="K25" s="94">
        <f>SUM(H25:J25)</f>
        <v/>
      </c>
    </row>
    <row r="26" ht="20" customHeight="1">
      <c r="B26" s="92" t="n"/>
      <c r="C26" s="93" t="inlineStr">
        <is>
          <t>즉시할인</t>
        </is>
      </c>
      <c r="D26" s="92" t="n">
        <v>1508300</v>
      </c>
      <c r="E26" s="92" t="inlineStr">
        <is>
          <t>2024.12.11</t>
        </is>
      </c>
      <c r="F26" s="92" t="inlineStr">
        <is>
          <t>2024.12.12</t>
        </is>
      </c>
      <c r="G26" s="94" t="n">
        <v>1000000</v>
      </c>
      <c r="H26" s="94" t="n">
        <v>49140</v>
      </c>
      <c r="K26" s="94">
        <f>SUM(H26:J26)</f>
        <v/>
      </c>
    </row>
    <row r="27" ht="20" customHeight="1">
      <c r="B27" s="92" t="n"/>
      <c r="C27" s="93" t="inlineStr">
        <is>
          <t>즉시할인</t>
        </is>
      </c>
      <c r="D27" s="92" t="n">
        <v>1515966</v>
      </c>
      <c r="E27" s="92" t="inlineStr">
        <is>
          <t>2024.12.12</t>
        </is>
      </c>
      <c r="F27" s="92" t="inlineStr">
        <is>
          <t>2024.12.15</t>
        </is>
      </c>
      <c r="G27" s="94" t="n">
        <v>10000000</v>
      </c>
      <c r="H27" s="94" t="n">
        <v>2608900</v>
      </c>
      <c r="K27" s="94">
        <f>SUM(H27:J27)</f>
        <v/>
      </c>
    </row>
    <row r="28" ht="20" customHeight="1">
      <c r="B28" s="92" t="n"/>
      <c r="C28" s="93" t="inlineStr">
        <is>
          <t>즉시할인</t>
        </is>
      </c>
      <c r="D28" s="92" t="n">
        <v>1506973</v>
      </c>
      <c r="E28" s="92" t="inlineStr">
        <is>
          <t>2024.12.13</t>
        </is>
      </c>
      <c r="F28" s="92" t="inlineStr">
        <is>
          <t>2024.12.14</t>
        </is>
      </c>
      <c r="G28" s="94" t="n">
        <v>8000000</v>
      </c>
      <c r="H28" s="94" t="n">
        <v>2698680</v>
      </c>
      <c r="K28" s="94">
        <f>SUM(H28:J28)</f>
        <v/>
      </c>
    </row>
    <row r="29" ht="20" customHeight="1">
      <c r="B29" s="92" t="n"/>
      <c r="C29" s="93" t="inlineStr">
        <is>
          <t>즉시할인</t>
        </is>
      </c>
      <c r="D29" s="92" t="n">
        <v>1517546</v>
      </c>
      <c r="E29" s="92" t="inlineStr">
        <is>
          <t>2024.12.13</t>
        </is>
      </c>
      <c r="F29" s="92" t="inlineStr">
        <is>
          <t>2024.12.15</t>
        </is>
      </c>
      <c r="G29" s="94" t="n">
        <v>5000000</v>
      </c>
      <c r="H29" s="94" t="n">
        <v>17010</v>
      </c>
      <c r="K29" s="94">
        <f>SUM(H29:J29)</f>
        <v/>
      </c>
    </row>
    <row r="30" ht="20" customHeight="1">
      <c r="B30" s="92" t="n"/>
      <c r="C30" s="93" t="inlineStr">
        <is>
          <t>즉시할인</t>
        </is>
      </c>
      <c r="D30" s="92" t="n">
        <v>1520316</v>
      </c>
      <c r="E30" s="92" t="inlineStr">
        <is>
          <t>2024.12.16</t>
        </is>
      </c>
      <c r="F30" s="92" t="inlineStr">
        <is>
          <t>2024.12.22</t>
        </is>
      </c>
      <c r="G30" s="94" t="n">
        <v>1000000</v>
      </c>
      <c r="H30" s="94" t="n">
        <v>113200</v>
      </c>
      <c r="K30" s="94">
        <f>SUM(H30:J30)</f>
        <v/>
      </c>
    </row>
    <row r="31" ht="20" customHeight="1">
      <c r="B31" s="92" t="n"/>
      <c r="C31" s="93" t="inlineStr">
        <is>
          <t>즉시할인</t>
        </is>
      </c>
      <c r="D31" s="92" t="n">
        <v>1522629</v>
      </c>
      <c r="E31" s="92" t="inlineStr">
        <is>
          <t>2024.12.17</t>
        </is>
      </c>
      <c r="F31" s="92" t="inlineStr">
        <is>
          <t>2024.12.22</t>
        </is>
      </c>
      <c r="G31" s="94" t="n">
        <v>10000000</v>
      </c>
      <c r="H31" s="94" t="n">
        <v>1602650</v>
      </c>
      <c r="K31" s="94">
        <f>SUM(H31:J31)</f>
        <v/>
      </c>
    </row>
    <row r="32" ht="20" customHeight="1">
      <c r="B32" s="92" t="n"/>
      <c r="C32" s="93" t="inlineStr">
        <is>
          <t>즉시할인</t>
        </is>
      </c>
      <c r="D32" s="92" t="n">
        <v>1527457</v>
      </c>
      <c r="E32" s="92" t="inlineStr">
        <is>
          <t>2024.12.19</t>
        </is>
      </c>
      <c r="F32" s="92" t="inlineStr">
        <is>
          <t>2024.12.22</t>
        </is>
      </c>
      <c r="G32" s="94" t="n">
        <v>8000000</v>
      </c>
      <c r="H32" s="94" t="n">
        <v>7857940</v>
      </c>
      <c r="K32" s="94">
        <f>SUM(H32:J32)</f>
        <v/>
      </c>
    </row>
    <row r="33" ht="20" customHeight="1">
      <c r="B33" s="92" t="n"/>
      <c r="C33" s="93" t="inlineStr">
        <is>
          <t>즉시할인</t>
        </is>
      </c>
      <c r="D33" s="92" t="n">
        <v>1537362</v>
      </c>
      <c r="E33" s="92" t="inlineStr">
        <is>
          <t>2024.12.24</t>
        </is>
      </c>
      <c r="F33" s="92" t="inlineStr">
        <is>
          <t>2024.12.29</t>
        </is>
      </c>
      <c r="G33" s="94" t="n">
        <v>10000000</v>
      </c>
      <c r="H33" s="94" t="n">
        <v>9902380</v>
      </c>
      <c r="K33" s="94">
        <f>SUM(H33:J33)</f>
        <v/>
      </c>
    </row>
    <row r="34" ht="20" customHeight="1">
      <c r="B34" s="92" t="n"/>
      <c r="C34" s="93" t="inlineStr">
        <is>
          <t>즉시할인</t>
        </is>
      </c>
      <c r="D34" s="92" t="n">
        <v>1549479</v>
      </c>
      <c r="E34" s="92" t="inlineStr">
        <is>
          <t>2024.12.30</t>
        </is>
      </c>
      <c r="F34" s="92" t="inlineStr">
        <is>
          <t>2025.01.05</t>
        </is>
      </c>
      <c r="G34" s="94" t="n">
        <v>5000000</v>
      </c>
      <c r="H34" s="94" t="n">
        <v>2021200</v>
      </c>
      <c r="K34" s="94">
        <f>SUM(H34:J34)</f>
        <v/>
      </c>
    </row>
    <row r="35" ht="20" customHeight="1">
      <c r="B35" s="92" t="n"/>
      <c r="C35" s="93" t="inlineStr">
        <is>
          <t>즉시할인</t>
        </is>
      </c>
      <c r="D35" s="92" t="n">
        <v>1552591</v>
      </c>
      <c r="E35" s="92" t="inlineStr">
        <is>
          <t>2024.12.31</t>
        </is>
      </c>
      <c r="F35" s="92" t="inlineStr">
        <is>
          <t>2025.01.05</t>
        </is>
      </c>
      <c r="G35" s="94" t="n">
        <v>8000000</v>
      </c>
      <c r="H35" s="94" t="n">
        <v>7876440</v>
      </c>
      <c r="K35" s="94">
        <f>SUM(H35:J35)</f>
        <v/>
      </c>
    </row>
    <row r="36" ht="18" customHeight="1"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6">
        <f>SUM(K21:K35)</f>
        <v/>
      </c>
      <c r="L36" s="95" t="n"/>
    </row>
    <row r="37" ht="20" customHeight="1">
      <c r="B37" s="92" t="inlineStr">
        <is>
          <t>1월</t>
        </is>
      </c>
      <c r="C37" s="93" t="inlineStr">
        <is>
          <t>즉시할인</t>
        </is>
      </c>
      <c r="D37" s="92" t="n">
        <v>1555015</v>
      </c>
      <c r="E37" s="92" t="inlineStr">
        <is>
          <t>2025.01.01</t>
        </is>
      </c>
      <c r="F37" s="92" t="inlineStr">
        <is>
          <t>2025.01.05</t>
        </is>
      </c>
      <c r="G37" s="94" t="n">
        <v>8000000</v>
      </c>
      <c r="H37" s="94" t="n">
        <v>7386530</v>
      </c>
      <c r="K37" s="94">
        <f>SUM(H37:J37)</f>
        <v/>
      </c>
    </row>
    <row r="38" ht="20" customHeight="1">
      <c r="B38" s="92" t="n"/>
      <c r="C38" s="93" t="inlineStr">
        <is>
          <t>즉시할인</t>
        </is>
      </c>
      <c r="D38" s="92" t="n">
        <v>1556037</v>
      </c>
      <c r="E38" s="92" t="inlineStr">
        <is>
          <t>2025.01.01</t>
        </is>
      </c>
      <c r="F38" s="92" t="inlineStr">
        <is>
          <t>2025.01.05</t>
        </is>
      </c>
      <c r="G38" s="94" t="n">
        <v>3000000</v>
      </c>
      <c r="H38" s="94" t="n">
        <v>1649070</v>
      </c>
      <c r="K38" s="94">
        <f>SUM(H38:J38)</f>
        <v/>
      </c>
    </row>
    <row r="39" ht="20" customHeight="1">
      <c r="B39" s="92" t="n"/>
      <c r="C39" s="93" t="inlineStr">
        <is>
          <t>즉시할인</t>
        </is>
      </c>
      <c r="D39" s="92" t="n">
        <v>1556798</v>
      </c>
      <c r="E39" s="92" t="inlineStr">
        <is>
          <t>2025.01.03</t>
        </is>
      </c>
      <c r="F39" s="92" t="inlineStr">
        <is>
          <t>2025.01.05</t>
        </is>
      </c>
      <c r="G39" s="94" t="n">
        <v>3000000</v>
      </c>
      <c r="H39" s="94" t="n">
        <v>2897090</v>
      </c>
      <c r="K39" s="94">
        <f>SUM(H39:J39)</f>
        <v/>
      </c>
    </row>
    <row r="40" ht="20" customHeight="1">
      <c r="B40" s="92" t="n"/>
      <c r="C40" s="93" t="inlineStr">
        <is>
          <t>즉시할인</t>
        </is>
      </c>
      <c r="D40" s="92" t="n">
        <v>1560993</v>
      </c>
      <c r="E40" s="92" t="inlineStr">
        <is>
          <t>2025.01.07</t>
        </is>
      </c>
      <c r="F40" s="92" t="inlineStr">
        <is>
          <t>2025.01.12</t>
        </is>
      </c>
      <c r="G40" s="94" t="n">
        <v>8000000</v>
      </c>
      <c r="H40" s="94" t="n">
        <v>654190</v>
      </c>
      <c r="K40" s="94">
        <f>SUM(H40:J40)</f>
        <v/>
      </c>
    </row>
    <row r="41" ht="20" customHeight="1">
      <c r="B41" s="92" t="n"/>
      <c r="C41" s="93" t="inlineStr">
        <is>
          <t>즉시할인</t>
        </is>
      </c>
      <c r="D41" s="92" t="n">
        <v>1563441</v>
      </c>
      <c r="E41" s="92" t="inlineStr">
        <is>
          <t>2025.01.08</t>
        </is>
      </c>
      <c r="F41" s="92" t="inlineStr">
        <is>
          <t>2025.01.12</t>
        </is>
      </c>
      <c r="G41" s="94" t="n">
        <v>8000000</v>
      </c>
      <c r="H41" s="94" t="n">
        <v>7821020</v>
      </c>
      <c r="K41" s="94">
        <f>SUM(H41:J41)</f>
        <v/>
      </c>
    </row>
    <row r="42" ht="20" customHeight="1">
      <c r="B42" s="92" t="n"/>
      <c r="C42" s="93" t="inlineStr">
        <is>
          <t>즉시할인</t>
        </is>
      </c>
      <c r="D42" s="92" t="n">
        <v>1564902</v>
      </c>
      <c r="E42" s="92" t="inlineStr">
        <is>
          <t>2025.01.09</t>
        </is>
      </c>
      <c r="F42" s="92" t="inlineStr">
        <is>
          <t>2025.01.12</t>
        </is>
      </c>
      <c r="G42" s="94" t="n">
        <v>3000000</v>
      </c>
      <c r="H42" s="94" t="n">
        <v>284830</v>
      </c>
      <c r="K42" s="94">
        <f>SUM(H42:J42)</f>
        <v/>
      </c>
    </row>
    <row r="43" ht="20" customHeight="1">
      <c r="B43" s="92" t="n"/>
      <c r="C43" s="93" t="inlineStr">
        <is>
          <t>즉시할인</t>
        </is>
      </c>
      <c r="D43" s="92" t="n">
        <v>1567153</v>
      </c>
      <c r="E43" s="92" t="inlineStr">
        <is>
          <t>2025.01.10</t>
        </is>
      </c>
      <c r="F43" s="92" t="inlineStr">
        <is>
          <t>2025.01.13</t>
        </is>
      </c>
      <c r="G43" s="94" t="n">
        <v>20000000</v>
      </c>
      <c r="H43" s="94" t="n">
        <v>19612190</v>
      </c>
      <c r="K43" s="94">
        <f>SUM(H43:J43)</f>
        <v/>
      </c>
    </row>
    <row r="44" ht="20" customHeight="1">
      <c r="B44" s="92" t="n"/>
      <c r="C44" s="93" t="inlineStr">
        <is>
          <t>즉시할인</t>
        </is>
      </c>
      <c r="D44" s="92" t="n">
        <v>1561794</v>
      </c>
      <c r="E44" s="92" t="inlineStr">
        <is>
          <t>2025.01.11</t>
        </is>
      </c>
      <c r="F44" s="92" t="inlineStr">
        <is>
          <t>2025.01.12</t>
        </is>
      </c>
      <c r="G44" s="94" t="n">
        <v>12000000</v>
      </c>
      <c r="H44" s="94" t="n">
        <v>10794620</v>
      </c>
      <c r="K44" s="94">
        <f>SUM(H44:J44)</f>
        <v/>
      </c>
    </row>
    <row r="45" ht="20" customHeight="1">
      <c r="B45" s="92" t="n"/>
      <c r="C45" s="93" t="inlineStr">
        <is>
          <t>즉시할인</t>
        </is>
      </c>
      <c r="D45" s="92" t="n">
        <v>1568501</v>
      </c>
      <c r="E45" s="92" t="inlineStr">
        <is>
          <t>2025.01.11</t>
        </is>
      </c>
      <c r="F45" s="92" t="inlineStr">
        <is>
          <t>2025.01.13</t>
        </is>
      </c>
      <c r="G45" s="94" t="n">
        <v>10000000</v>
      </c>
      <c r="H45" s="94" t="n">
        <v>7067350</v>
      </c>
      <c r="K45" s="94">
        <f>SUM(H45:J45)</f>
        <v/>
      </c>
    </row>
    <row r="46" ht="20" customHeight="1">
      <c r="B46" s="92" t="n"/>
      <c r="C46" s="93" t="inlineStr">
        <is>
          <t>즉시할인</t>
        </is>
      </c>
      <c r="D46" s="92" t="n">
        <v>1570963</v>
      </c>
      <c r="E46" s="92" t="inlineStr">
        <is>
          <t>2025.01.14</t>
        </is>
      </c>
      <c r="F46" s="92" t="inlineStr">
        <is>
          <t>2025.01.20</t>
        </is>
      </c>
      <c r="G46" s="94" t="n">
        <v>20000000</v>
      </c>
      <c r="H46" s="94" t="n">
        <v>6529230</v>
      </c>
      <c r="K46" s="94">
        <f>SUM(H46:J46)</f>
        <v/>
      </c>
    </row>
    <row r="47" ht="20" customHeight="1">
      <c r="B47" s="92" t="n"/>
      <c r="C47" s="93" t="inlineStr">
        <is>
          <t>즉시할인</t>
        </is>
      </c>
      <c r="D47" s="92" t="n">
        <v>1573016</v>
      </c>
      <c r="E47" s="92" t="inlineStr">
        <is>
          <t>2025.01.15</t>
        </is>
      </c>
      <c r="F47" s="92" t="inlineStr">
        <is>
          <t>2025.01.20</t>
        </is>
      </c>
      <c r="G47" s="94" t="n">
        <v>20000000</v>
      </c>
      <c r="H47" s="94" t="n">
        <v>1256430</v>
      </c>
      <c r="K47" s="94">
        <f>SUM(H47:J47)</f>
        <v/>
      </c>
    </row>
    <row r="48" ht="20" customHeight="1">
      <c r="B48" s="92" t="n"/>
      <c r="C48" s="93" t="inlineStr">
        <is>
          <t>즉시할인</t>
        </is>
      </c>
      <c r="D48" s="92" t="n">
        <v>1573503</v>
      </c>
      <c r="E48" s="92" t="inlineStr">
        <is>
          <t>2025.01.16</t>
        </is>
      </c>
      <c r="F48" s="92" t="inlineStr">
        <is>
          <t>2025.01.20</t>
        </is>
      </c>
      <c r="G48" s="94" t="n">
        <v>10000000</v>
      </c>
      <c r="H48" s="94" t="n">
        <v>72420</v>
      </c>
      <c r="K48" s="94">
        <f>SUM(H48:J48)</f>
        <v/>
      </c>
    </row>
    <row r="49" ht="20" customHeight="1">
      <c r="B49" s="92" t="n"/>
      <c r="C49" s="93" t="inlineStr">
        <is>
          <t>즉시할인</t>
        </is>
      </c>
      <c r="D49" s="92" t="n">
        <v>1573504</v>
      </c>
      <c r="E49" s="92" t="inlineStr">
        <is>
          <t>2025.01.16</t>
        </is>
      </c>
      <c r="F49" s="92" t="inlineStr">
        <is>
          <t>2025.01.20</t>
        </is>
      </c>
      <c r="G49" s="94" t="n">
        <v>10000000</v>
      </c>
      <c r="H49" s="94" t="n">
        <v>2032340</v>
      </c>
      <c r="K49" s="94">
        <f>SUM(H49:J49)</f>
        <v/>
      </c>
    </row>
    <row r="50" ht="20" customHeight="1">
      <c r="B50" s="92" t="n"/>
      <c r="C50" s="93" t="inlineStr">
        <is>
          <t>즉시할인</t>
        </is>
      </c>
      <c r="D50" s="92" t="n">
        <v>1578928</v>
      </c>
      <c r="E50" s="92" t="inlineStr">
        <is>
          <t>2025.01.21</t>
        </is>
      </c>
      <c r="F50" s="92" t="inlineStr">
        <is>
          <t>2025.01.27</t>
        </is>
      </c>
      <c r="G50" s="94" t="n">
        <v>20000000</v>
      </c>
      <c r="H50" s="94" t="n">
        <v>5878080</v>
      </c>
      <c r="K50" s="94">
        <f>SUM(H50:J50)</f>
        <v/>
      </c>
    </row>
    <row r="51" ht="20" customHeight="1">
      <c r="B51" s="92" t="n"/>
      <c r="C51" s="93" t="inlineStr">
        <is>
          <t>즉시할인</t>
        </is>
      </c>
      <c r="D51" s="92" t="n">
        <v>1578930</v>
      </c>
      <c r="E51" s="92" t="inlineStr">
        <is>
          <t>2025.01.21</t>
        </is>
      </c>
      <c r="F51" s="92" t="inlineStr">
        <is>
          <t>2025.01.27</t>
        </is>
      </c>
      <c r="G51" s="94" t="n">
        <v>20000000</v>
      </c>
      <c r="H51" s="94" t="n">
        <v>1085840</v>
      </c>
      <c r="K51" s="94">
        <f>SUM(H51:J51)</f>
        <v/>
      </c>
    </row>
    <row r="52" ht="20" customHeight="1">
      <c r="B52" s="92" t="n"/>
      <c r="C52" s="93" t="inlineStr">
        <is>
          <t>즉시할인</t>
        </is>
      </c>
      <c r="D52" s="92" t="n">
        <v>1586298</v>
      </c>
      <c r="E52" s="92" t="inlineStr">
        <is>
          <t>2025.01.24</t>
        </is>
      </c>
      <c r="F52" s="92" t="inlineStr">
        <is>
          <t>2025.02.03</t>
        </is>
      </c>
      <c r="G52" s="94" t="n">
        <v>20000000</v>
      </c>
      <c r="H52" s="94" t="n">
        <v>204260</v>
      </c>
      <c r="K52" s="94">
        <f>SUM(H52:J52)</f>
        <v/>
      </c>
    </row>
    <row r="53" ht="20" customHeight="1">
      <c r="B53" s="92" t="n"/>
      <c r="C53" s="93" t="inlineStr">
        <is>
          <t>즉시할인</t>
        </is>
      </c>
      <c r="D53" s="92" t="n">
        <v>1586294</v>
      </c>
      <c r="E53" s="92" t="inlineStr">
        <is>
          <t>2025.01.24</t>
        </is>
      </c>
      <c r="F53" s="92" t="inlineStr">
        <is>
          <t>2025.02.03</t>
        </is>
      </c>
      <c r="G53" s="94" t="n">
        <v>10000000</v>
      </c>
      <c r="H53" s="94" t="n">
        <v>114270</v>
      </c>
      <c r="K53" s="94">
        <f>SUM(H53:J53)</f>
        <v/>
      </c>
    </row>
    <row r="54" ht="20" customHeight="1">
      <c r="B54" s="92" t="n"/>
      <c r="C54" s="93" t="inlineStr">
        <is>
          <t>즉시할인</t>
        </is>
      </c>
      <c r="D54" s="92" t="n">
        <v>1589498</v>
      </c>
      <c r="E54" s="92" t="inlineStr">
        <is>
          <t>2025.01.28</t>
        </is>
      </c>
      <c r="F54" s="92" t="inlineStr">
        <is>
          <t>2025.02.03</t>
        </is>
      </c>
      <c r="G54" s="94" t="n">
        <v>20000000</v>
      </c>
      <c r="H54" s="94" t="n">
        <v>15057240</v>
      </c>
      <c r="K54" s="94">
        <f>SUM(H54:J54)</f>
        <v/>
      </c>
    </row>
    <row r="55" ht="18" customHeight="1">
      <c r="B55" s="95" t="n"/>
      <c r="C55" s="95" t="n"/>
      <c r="D55" s="95" t="n"/>
      <c r="E55" s="95" t="n"/>
      <c r="F55" s="95" t="n"/>
      <c r="G55" s="95" t="n"/>
      <c r="H55" s="95" t="n"/>
      <c r="I55" s="95" t="n"/>
      <c r="J55" s="95" t="n"/>
      <c r="K55" s="96">
        <f>SUM(K37:K54)</f>
        <v/>
      </c>
      <c r="L55" s="95" t="n"/>
    </row>
    <row r="56" ht="20" customHeight="1">
      <c r="B56" s="92" t="inlineStr">
        <is>
          <t>2월</t>
        </is>
      </c>
      <c r="C56" s="93" t="inlineStr">
        <is>
          <t>즉시할인</t>
        </is>
      </c>
      <c r="D56" s="92" t="n">
        <v>1594933</v>
      </c>
      <c r="E56" s="92" t="inlineStr">
        <is>
          <t>2025.02.04</t>
        </is>
      </c>
      <c r="F56" s="92" t="inlineStr">
        <is>
          <t>2025.02.10</t>
        </is>
      </c>
      <c r="G56" s="94" t="n">
        <v>20000000</v>
      </c>
      <c r="H56" s="94" t="n">
        <v>19761370</v>
      </c>
      <c r="K56" s="94">
        <f>SUM(H56:J56)</f>
        <v/>
      </c>
    </row>
    <row r="57" ht="20" customHeight="1">
      <c r="B57" s="92" t="n"/>
      <c r="C57" s="93" t="inlineStr">
        <is>
          <t>즉시할인</t>
        </is>
      </c>
      <c r="D57" s="92" t="n">
        <v>1594934</v>
      </c>
      <c r="E57" s="92" t="inlineStr">
        <is>
          <t>2025.02.04</t>
        </is>
      </c>
      <c r="F57" s="92" t="inlineStr">
        <is>
          <t>2025.02.10</t>
        </is>
      </c>
      <c r="G57" s="94" t="n">
        <v>10000000</v>
      </c>
      <c r="H57" s="94" t="n">
        <v>8678830</v>
      </c>
      <c r="K57" s="94">
        <f>SUM(H57:J57)</f>
        <v/>
      </c>
    </row>
    <row r="58" ht="20" customHeight="1">
      <c r="B58" s="92" t="n"/>
      <c r="C58" s="93" t="inlineStr">
        <is>
          <t>즉시할인</t>
        </is>
      </c>
      <c r="D58" s="92" t="n">
        <v>1602730</v>
      </c>
      <c r="E58" s="92" t="inlineStr">
        <is>
          <t>2025.02.11</t>
        </is>
      </c>
      <c r="F58" s="92" t="inlineStr">
        <is>
          <t>2025.02.17</t>
        </is>
      </c>
      <c r="G58" s="94" t="n">
        <v>20000000</v>
      </c>
      <c r="H58" s="94" t="n">
        <v>5043830</v>
      </c>
      <c r="K58" s="94">
        <f>SUM(H58:J58)</f>
        <v/>
      </c>
    </row>
    <row r="59" ht="20" customHeight="1">
      <c r="B59" s="92" t="n"/>
      <c r="C59" s="93" t="inlineStr">
        <is>
          <t>즉시할인</t>
        </is>
      </c>
      <c r="D59" s="92" t="n">
        <v>1606177</v>
      </c>
      <c r="E59" s="92" t="inlineStr">
        <is>
          <t>2025.02.13</t>
        </is>
      </c>
      <c r="F59" s="92" t="inlineStr">
        <is>
          <t>2025.02.17</t>
        </is>
      </c>
      <c r="G59" s="94" t="n">
        <v>10000000</v>
      </c>
      <c r="H59" s="94" t="n">
        <v>189740</v>
      </c>
      <c r="K59" s="94">
        <f>SUM(H59:J59)</f>
        <v/>
      </c>
    </row>
    <row r="60" ht="20" customHeight="1">
      <c r="B60" s="92" t="n"/>
      <c r="C60" s="93" t="inlineStr">
        <is>
          <t>즉시할인</t>
        </is>
      </c>
      <c r="D60" s="92" t="n">
        <v>1608044</v>
      </c>
      <c r="E60" s="92" t="inlineStr">
        <is>
          <t>2025.02.14</t>
        </is>
      </c>
      <c r="F60" s="92" t="inlineStr">
        <is>
          <t>2025.02.17</t>
        </is>
      </c>
      <c r="G60" s="94" t="n">
        <v>3000000</v>
      </c>
      <c r="H60" s="94" t="n">
        <v>14050</v>
      </c>
      <c r="K60" s="94">
        <f>SUM(H60:J60)</f>
        <v/>
      </c>
    </row>
    <row r="61" ht="20" customHeight="1">
      <c r="B61" s="92" t="n"/>
      <c r="C61" s="93" t="inlineStr">
        <is>
          <t>즉시할인</t>
        </is>
      </c>
      <c r="D61" s="92" t="n">
        <v>1611830</v>
      </c>
      <c r="E61" s="92" t="inlineStr">
        <is>
          <t>2025.02.18</t>
        </is>
      </c>
      <c r="F61" s="92" t="inlineStr">
        <is>
          <t>2025.02.24</t>
        </is>
      </c>
      <c r="G61" s="94" t="n">
        <v>20000000</v>
      </c>
      <c r="H61" s="94" t="n">
        <v>9516470</v>
      </c>
      <c r="K61" s="94">
        <f>SUM(H61:J61)</f>
        <v/>
      </c>
    </row>
    <row r="62" ht="20" customHeight="1">
      <c r="B62" s="92" t="n"/>
      <c r="C62" s="93" t="inlineStr">
        <is>
          <t>즉시할인</t>
        </is>
      </c>
      <c r="D62" s="92" t="n">
        <v>1612947</v>
      </c>
      <c r="E62" s="92" t="inlineStr">
        <is>
          <t>2025.02.19</t>
        </is>
      </c>
      <c r="F62" s="92" t="inlineStr">
        <is>
          <t>2025.02.24</t>
        </is>
      </c>
      <c r="G62" s="94" t="n">
        <v>5000000</v>
      </c>
      <c r="H62" s="94" t="n">
        <v>1300320</v>
      </c>
      <c r="K62" s="94">
        <f>SUM(H62:J62)</f>
        <v/>
      </c>
    </row>
    <row r="63" ht="20" customHeight="1">
      <c r="B63" s="92" t="n"/>
      <c r="C63" s="93" t="inlineStr">
        <is>
          <t>즉시할인</t>
        </is>
      </c>
      <c r="D63" s="92" t="n">
        <v>1620460</v>
      </c>
      <c r="E63" s="92" t="inlineStr">
        <is>
          <t>2025.02.25</t>
        </is>
      </c>
      <c r="F63" s="92" t="inlineStr">
        <is>
          <t>2025.03.04</t>
        </is>
      </c>
      <c r="G63" s="94" t="n">
        <v>20000000</v>
      </c>
      <c r="H63" s="94" t="n">
        <v>7397580</v>
      </c>
      <c r="K63" s="94">
        <f>SUM(H63:J63)</f>
        <v/>
      </c>
    </row>
    <row r="64" ht="18" customHeight="1">
      <c r="B64" s="95" t="n"/>
      <c r="C64" s="95" t="n"/>
      <c r="D64" s="95" t="n"/>
      <c r="E64" s="95" t="n"/>
      <c r="F64" s="95" t="n"/>
      <c r="G64" s="95" t="n"/>
      <c r="H64" s="95" t="n"/>
      <c r="I64" s="95" t="n"/>
      <c r="J64" s="95" t="n"/>
      <c r="K64" s="96">
        <f>SUM(K56:K63)</f>
        <v/>
      </c>
      <c r="L64" s="95" t="n"/>
    </row>
    <row r="65" ht="20" customHeight="1">
      <c r="B65" s="92" t="inlineStr">
        <is>
          <t>3월</t>
        </is>
      </c>
      <c r="C65" s="93" t="inlineStr">
        <is>
          <t>즉시할인</t>
        </is>
      </c>
      <c r="D65" s="92" t="n">
        <v>1630000</v>
      </c>
      <c r="E65" s="92" t="inlineStr">
        <is>
          <t>2025.03.05</t>
        </is>
      </c>
      <c r="F65" s="92" t="inlineStr">
        <is>
          <t>2025.03.10</t>
        </is>
      </c>
      <c r="G65" s="94" t="n">
        <v>15000000</v>
      </c>
      <c r="H65" s="94" t="n">
        <v>5034580</v>
      </c>
      <c r="K65" s="94">
        <f>SUM(H65:J65)</f>
        <v/>
      </c>
    </row>
    <row r="66" ht="20" customHeight="1">
      <c r="B66" s="92" t="n"/>
      <c r="C66" s="93" t="inlineStr">
        <is>
          <t>즉시할인</t>
        </is>
      </c>
      <c r="D66" s="92" t="n">
        <v>1637576</v>
      </c>
      <c r="E66" s="92" t="inlineStr">
        <is>
          <t>2025.03.11</t>
        </is>
      </c>
      <c r="F66" s="92" t="inlineStr">
        <is>
          <t>2025.03.17</t>
        </is>
      </c>
      <c r="G66" s="94" t="n">
        <v>15000000</v>
      </c>
      <c r="H66" s="94" t="n">
        <v>3597640</v>
      </c>
      <c r="K66" s="94">
        <f>SUM(H66:J66)</f>
        <v/>
      </c>
    </row>
    <row r="67" ht="20" customHeight="1">
      <c r="B67" s="92" t="n"/>
      <c r="C67" s="93" t="inlineStr">
        <is>
          <t>즉시할인</t>
        </is>
      </c>
      <c r="D67" s="92" t="n">
        <v>1645353</v>
      </c>
      <c r="E67" s="92" t="inlineStr">
        <is>
          <t>2025.03.18</t>
        </is>
      </c>
      <c r="F67" s="92" t="inlineStr">
        <is>
          <t>2025.03.24</t>
        </is>
      </c>
      <c r="G67" s="94" t="n">
        <v>10000000</v>
      </c>
      <c r="H67" s="94" t="n">
        <v>2775630</v>
      </c>
      <c r="K67" s="94">
        <f>SUM(H67:J67)</f>
        <v/>
      </c>
    </row>
    <row r="68" ht="20" customHeight="1">
      <c r="B68" s="92" t="n"/>
      <c r="C68" s="93" t="inlineStr">
        <is>
          <t>즉시할인</t>
        </is>
      </c>
      <c r="D68" s="92" t="n">
        <v>1655230</v>
      </c>
      <c r="E68" s="92" t="inlineStr">
        <is>
          <t>2025.03.25</t>
        </is>
      </c>
      <c r="F68" s="92" t="inlineStr">
        <is>
          <t>2025.03.31</t>
        </is>
      </c>
      <c r="G68" s="94" t="n">
        <v>10000000</v>
      </c>
      <c r="H68" s="94" t="n">
        <v>2262760</v>
      </c>
      <c r="K68" s="94">
        <f>SUM(H68:J68)</f>
        <v/>
      </c>
    </row>
    <row r="69" ht="18" customHeight="1">
      <c r="B69" s="95" t="n"/>
      <c r="C69" s="95" t="n"/>
      <c r="D69" s="95" t="n"/>
      <c r="E69" s="95" t="n"/>
      <c r="F69" s="95" t="n"/>
      <c r="G69" s="95" t="n"/>
      <c r="H69" s="95" t="n"/>
      <c r="I69" s="95" t="n"/>
      <c r="J69" s="95" t="n"/>
      <c r="K69" s="96">
        <f>SUM(K65:K68)</f>
        <v/>
      </c>
      <c r="L69" s="95" t="n"/>
    </row>
    <row r="71" ht="22" customHeight="1">
      <c r="I71" s="97" t="inlineStr">
        <is>
          <t>합 계 (광고제외)</t>
        </is>
      </c>
      <c r="K71" s="98">
        <f>K14+K20+K36+K55+K64+K69</f>
        <v/>
      </c>
    </row>
    <row r="72" ht="22" customHeight="1">
      <c r="I72" s="97" t="inlineStr">
        <is>
          <t>합 계</t>
        </is>
      </c>
      <c r="K72" s="98">
        <f>K10+K14+K20+K36+K55+K64+K69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2026-04-10T05:49:16Z</dcterms:created>
  <dcterms:modified xmlns:dcterms="http://purl.org/dc/terms/" xmlns:xsi="http://www.w3.org/2001/XMLSchema-instance" xsi:type="dcterms:W3CDTF">2026-04-17T12:47:58Z</dcterms:modified>
  <cp:lastModifiedBy>user</cp:lastModifiedBy>
</cp:coreProperties>
</file>